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VBA Setup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Assumptions" sheetId="3" state="visible" r:id="rId3"/>
    <sheet xmlns:r="http://schemas.openxmlformats.org/officeDocument/2006/relationships" name="Income_Statement" sheetId="4" state="visible" r:id="rId4"/>
    <sheet xmlns:r="http://schemas.openxmlformats.org/officeDocument/2006/relationships" name="Balance_Sheet" sheetId="5" state="visible" r:id="rId5"/>
    <sheet xmlns:r="http://schemas.openxmlformats.org/officeDocument/2006/relationships" name="Cash_Flow" sheetId="6" state="visible" r:id="rId6"/>
    <sheet xmlns:r="http://schemas.openxmlformats.org/officeDocument/2006/relationships" name="Valuation" sheetId="7" state="visible" r:id="rId7"/>
    <sheet xmlns:r="http://schemas.openxmlformats.org/officeDocument/2006/relationships" name="Comps" sheetId="8" state="visible" r:id="rId8"/>
    <sheet xmlns:r="http://schemas.openxmlformats.org/officeDocument/2006/relationships" name="Sensitivity" sheetId="9" state="visible" r:id="rId9"/>
    <sheet xmlns:r="http://schemas.openxmlformats.org/officeDocument/2006/relationships" name="Scenarios" sheetId="10" state="visible" r:id="rId10"/>
    <sheet xmlns:r="http://schemas.openxmlformats.org/officeDocument/2006/relationships" name="Dashboard" sheetId="11" state="visible" r:id="rId11"/>
  </sheets>
  <definedNames>
    <definedName name="Revenue_Growth_Rate">'Assumptions'!$C$8</definedName>
    <definedName name="Volume_Growth">'Assumptions'!$C$9</definedName>
    <definedName name="Price_Inflation">'Assumptions'!$C$10</definedName>
    <definedName name="Gross_Margin">'Assumptions'!$C$13</definedName>
    <definedName name="EBITDA_Margin">'Assumptions'!$C$14</definedName>
    <definedName name="Operating_Margin">'Assumptions'!$C$15</definedName>
    <definedName name="Net_Margin">'Assumptions'!$C$16</definedName>
    <definedName name="SGAndA_as_Pct_of_Revenue">'Assumptions'!$C$17</definedName>
    <definedName name="Receivable_Days">'Assumptions'!$C$20</definedName>
    <definedName name="Inventory_Days">'Assumptions'!$C$21</definedName>
    <definedName name="Payable_Days">'Assumptions'!$C$22</definedName>
    <definedName name="Capex_Pct_of_Revenue">'Assumptions'!$C$25</definedName>
    <definedName name="DAndA_Pct_of_Gross_PPE">'Assumptions'!$C$26</definedName>
    <definedName name="Cost_of_Debt">'Assumptions'!$C$29</definedName>
    <definedName name="Debt_Equity_Ratio">'Assumptions'!$C$30</definedName>
    <definedName name="Risk-free_Rate">'Assumptions'!$C$33</definedName>
    <definedName name="Equity_Risk_Premium">'Assumptions'!$C$34</definedName>
    <definedName name="Beta">'Assumptions'!$C$35</definedName>
    <definedName name="Cost_of_Equity">'Assumptions'!$C$36</definedName>
    <definedName name="Terminal_Growth_Rate">'Assumptions'!$C$37</definedName>
    <definedName name="Tax_Rate">'Assumptions'!$C$38</definedName>
    <definedName name="Shares_Outstanding_Cr">'Assumptions'!$C$41</definedName>
    <definedName name="Current_Price_₹">'Assumptions'!$C$42</definedName>
    <definedName name="Market_Cap_₹_Cr">'Assumptions'!$C$43</definedName>
    <definedName name="Stock_P_E">'Assumptions'!$C$46</definedName>
    <definedName name="Price_to_Book">'Assumptions'!$C$47</definedName>
    <definedName name="ROCE_Pct">'Assumptions'!$C$48</definedName>
    <definedName name="ROE_Pct">'Assumptions'!$C$49</definedName>
    <definedName name="Book_Value_₹">'Assumptions'!$C$50</definedName>
    <definedName name="Face_Value_₹">'Assumptions'!$C$51</definedName>
    <definedName name="Dividend_Yield_Pct">'Assumptions'!$C$52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₹#,##0"/>
    <numFmt numFmtId="165" formatCode="0.0%"/>
    <numFmt numFmtId="166" formatCode="0.00x"/>
    <numFmt numFmtId="167" formatCode="0.000"/>
    <numFmt numFmtId="168" formatCode="#,##0.0"/>
  </numFmts>
  <fonts count="16">
    <font>
      <name val="Calibri"/>
      <family val="2"/>
      <color theme="1"/>
      <sz val="11"/>
      <scheme val="minor"/>
    </font>
    <font>
      <name val="Calibri"/>
      <b val="1"/>
      <color rgb="001F4E79"/>
      <sz val="16"/>
    </font>
    <font>
      <name val="Calibri"/>
      <b val="1"/>
      <color rgb="00FFFFFF"/>
      <sz val="10"/>
    </font>
    <font>
      <name val="Calibri"/>
      <b val="1"/>
      <color rgb="001F4E79"/>
      <sz val="10"/>
    </font>
    <font>
      <name val="Calibri"/>
      <color rgb="001F4E79"/>
      <sz val="10"/>
    </font>
    <font>
      <name val="Calibri"/>
      <color rgb="00404040"/>
      <sz val="10"/>
    </font>
    <font>
      <name val="Calibri"/>
      <sz val="10"/>
    </font>
    <font>
      <name val="Calibri"/>
      <b val="1"/>
      <sz val="10"/>
    </font>
    <font>
      <i val="1"/>
      <color rgb="00666666"/>
    </font>
    <font>
      <i val="1"/>
      <color rgb="001F4E79"/>
    </font>
    <font>
      <i val="1"/>
      <color rgb="00666666"/>
      <sz val="9"/>
    </font>
    <font>
      <b val="1"/>
    </font>
    <font>
      <color rgb="00666666"/>
      <sz val="12"/>
    </font>
    <font>
      <i val="1"/>
      <sz val="10"/>
    </font>
    <font>
      <color rgb="000563C1"/>
      <u val="single"/>
    </font>
    <font>
      <b val="1"/>
      <color rgb="001F4E79"/>
      <sz val="16"/>
    </font>
  </fonts>
  <fills count="6">
    <fill>
      <patternFill/>
    </fill>
    <fill>
      <patternFill patternType="gray125"/>
    </fill>
    <fill>
      <patternFill patternType="solid">
        <fgColor rgb="001F4E79"/>
        <bgColor rgb="001F4E79"/>
      </patternFill>
    </fill>
    <fill>
      <patternFill patternType="solid">
        <fgColor rgb="00D9D9D9"/>
        <bgColor rgb="00D9D9D9"/>
      </patternFill>
    </fill>
    <fill>
      <patternFill patternType="solid">
        <fgColor rgb="00FFF2CC"/>
        <bgColor rgb="00FFF2CC"/>
      </patternFill>
    </fill>
    <fill>
      <patternFill patternType="solid">
        <fgColor rgb="00E2EFDA"/>
        <bgColor rgb="00E2EFDA"/>
      </patternFill>
    </fill>
  </fills>
  <borders count="5">
    <border>
      <left/>
      <right/>
      <top/>
      <bottom/>
      <diagonal/>
    </border>
    <border/>
    <border>
      <bottom style="thin">
        <color rgb="00000000"/>
      </bottom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top style="thin">
        <color rgb="00000000"/>
      </top>
      <bottom style="double">
        <color rgb="00000000"/>
      </bottom>
    </border>
  </borders>
  <cellStyleXfs count="8">
    <xf numFmtId="0" fontId="0" fillId="0" borderId="0"/>
    <xf numFmtId="0" fontId="1" fillId="0" borderId="1" applyAlignment="1">
      <alignment horizontal="left" vertical="center"/>
    </xf>
    <xf numFmtId="0" fontId="2" fillId="2" borderId="2" applyAlignment="1">
      <alignment horizontal="center" vertical="center"/>
    </xf>
    <xf numFmtId="0" fontId="3" fillId="3" borderId="1" applyAlignment="1">
      <alignment horizontal="left" vertical="center"/>
    </xf>
    <xf numFmtId="0" fontId="4" fillId="4" borderId="3" applyAlignment="1">
      <alignment horizontal="right"/>
    </xf>
    <xf numFmtId="0" fontId="5" fillId="5" borderId="1" applyAlignment="1">
      <alignment horizontal="right"/>
    </xf>
    <xf numFmtId="0" fontId="6" fillId="0" borderId="1" applyAlignment="1">
      <alignment horizontal="left" indent="1"/>
    </xf>
    <xf numFmtId="0" fontId="7" fillId="0" borderId="4" applyAlignment="1">
      <alignment horizontal="right"/>
    </xf>
  </cellStyleXfs>
  <cellXfs count="40">
    <xf numFmtId="0" fontId="0" fillId="0" borderId="0" pivotButton="0" quotePrefix="0" xfId="0"/>
    <xf numFmtId="0" fontId="1" fillId="0" borderId="1" applyAlignment="1" pivotButton="0" quotePrefix="0" xfId="1">
      <alignment horizontal="left" vertical="center"/>
    </xf>
    <xf numFmtId="0" fontId="12" fillId="0" borderId="0" pivotButton="0" quotePrefix="0" xfId="0"/>
    <xf numFmtId="0" fontId="13" fillId="0" borderId="0" pivotButton="0" quotePrefix="0" xfId="0"/>
    <xf numFmtId="0" fontId="3" fillId="3" borderId="1" applyAlignment="1" pivotButton="0" quotePrefix="0" xfId="3">
      <alignment horizontal="left" vertical="center"/>
    </xf>
    <xf numFmtId="0" fontId="6" fillId="0" borderId="1" applyAlignment="1" pivotButton="0" quotePrefix="0" xfId="6">
      <alignment horizontal="left" indent="1"/>
    </xf>
    <xf numFmtId="0" fontId="14" fillId="0" borderId="0" pivotButton="0" quotePrefix="0" xfId="0"/>
    <xf numFmtId="164" fontId="5" fillId="5" borderId="1" applyAlignment="1" pivotButton="0" quotePrefix="0" xfId="5">
      <alignment horizontal="right"/>
    </xf>
    <xf numFmtId="3" fontId="5" fillId="5" borderId="1" applyAlignment="1" pivotButton="0" quotePrefix="0" xfId="5">
      <alignment horizontal="right"/>
    </xf>
    <xf numFmtId="165" fontId="5" fillId="5" borderId="1" applyAlignment="1" pivotButton="0" quotePrefix="0" xfId="5">
      <alignment horizontal="right"/>
    </xf>
    <xf numFmtId="0" fontId="8" fillId="0" borderId="0" pivotButton="0" quotePrefix="0" xfId="0"/>
    <xf numFmtId="0" fontId="9" fillId="0" borderId="0" pivotButton="0" quotePrefix="0" xfId="0"/>
    <xf numFmtId="165" fontId="4" fillId="4" borderId="3" applyAlignment="1" pivotButton="0" quotePrefix="0" xfId="4">
      <alignment horizontal="right"/>
    </xf>
    <xf numFmtId="0" fontId="10" fillId="0" borderId="0" pivotButton="0" quotePrefix="0" xfId="0"/>
    <xf numFmtId="3" fontId="4" fillId="4" borderId="3" applyAlignment="1" pivotButton="0" quotePrefix="0" xfId="4">
      <alignment horizontal="right"/>
    </xf>
    <xf numFmtId="166" fontId="4" fillId="4" borderId="3" applyAlignment="1" pivotButton="0" quotePrefix="0" xfId="4">
      <alignment horizontal="right"/>
    </xf>
    <xf numFmtId="164" fontId="4" fillId="4" borderId="3" applyAlignment="1" pivotButton="0" quotePrefix="0" xfId="4">
      <alignment horizontal="right"/>
    </xf>
    <xf numFmtId="0" fontId="2" fillId="2" borderId="2" applyAlignment="1" pivotButton="0" quotePrefix="0" xfId="2">
      <alignment horizontal="center" vertical="center"/>
    </xf>
    <xf numFmtId="0" fontId="11" fillId="0" borderId="1" applyAlignment="1" pivotButton="0" quotePrefix="0" xfId="6">
      <alignment horizontal="left" indent="1"/>
    </xf>
    <xf numFmtId="3" fontId="0" fillId="0" borderId="0" pivotButton="0" quotePrefix="0" xfId="0"/>
    <xf numFmtId="165" fontId="0" fillId="0" borderId="0" pivotButton="0" quotePrefix="0" xfId="0"/>
    <xf numFmtId="0" fontId="5" fillId="5" borderId="1" applyAlignment="1" pivotButton="0" quotePrefix="0" xfId="5">
      <alignment horizontal="right"/>
    </xf>
    <xf numFmtId="166" fontId="0" fillId="0" borderId="0" pivotButton="0" quotePrefix="0" xfId="0"/>
    <xf numFmtId="167" fontId="0" fillId="0" borderId="0" pivotButton="0" quotePrefix="0" xfId="0"/>
    <xf numFmtId="0" fontId="4" fillId="4" borderId="3" applyAlignment="1" pivotButton="0" quotePrefix="0" xfId="4">
      <alignment horizontal="right"/>
    </xf>
    <xf numFmtId="168" fontId="0" fillId="0" borderId="0" pivotButton="0" quotePrefix="0" xfId="0"/>
    <xf numFmtId="0" fontId="11" fillId="0" borderId="0" pivotButton="0" quotePrefix="0" xfId="0"/>
    <xf numFmtId="168" fontId="4" fillId="4" borderId="3" applyAlignment="1" pivotButton="0" quotePrefix="0" xfId="4">
      <alignment horizontal="right"/>
    </xf>
    <xf numFmtId="165" fontId="2" fillId="2" borderId="2" applyAlignment="1" pivotButton="0" quotePrefix="0" xfId="2">
      <alignment horizontal="center" vertical="center"/>
    </xf>
    <xf numFmtId="164" fontId="0" fillId="0" borderId="0" pivotButton="0" quotePrefix="0" xfId="0"/>
    <xf numFmtId="0" fontId="15" fillId="0" borderId="0" pivotButton="0" quotePrefix="0" xfId="0"/>
    <xf numFmtId="164" fontId="5" fillId="5" borderId="1" applyAlignment="1" pivotButton="0" quotePrefix="0" xfId="5">
      <alignment horizontal="right"/>
    </xf>
    <xf numFmtId="165" fontId="5" fillId="5" borderId="1" applyAlignment="1" pivotButton="0" quotePrefix="0" xfId="5">
      <alignment horizontal="right"/>
    </xf>
    <xf numFmtId="165" fontId="4" fillId="4" borderId="3" applyAlignment="1" pivotButton="0" quotePrefix="0" xfId="4">
      <alignment horizontal="right"/>
    </xf>
    <xf numFmtId="166" fontId="4" fillId="4" borderId="3" applyAlignment="1" pivotButton="0" quotePrefix="0" xfId="4">
      <alignment horizontal="right"/>
    </xf>
    <xf numFmtId="164" fontId="4" fillId="4" borderId="3" applyAlignment="1" pivotButton="0" quotePrefix="0" xfId="4">
      <alignment horizontal="right"/>
    </xf>
    <xf numFmtId="165" fontId="0" fillId="0" borderId="0" pivotButton="0" quotePrefix="0" xfId="0"/>
    <xf numFmtId="166" fontId="0" fillId="0" borderId="0" pivotButton="0" quotePrefix="0" xfId="0"/>
    <xf numFmtId="165" fontId="2" fillId="2" borderId="2" applyAlignment="1" pivotButton="0" quotePrefix="0" xfId="2">
      <alignment horizontal="center" vertical="center"/>
    </xf>
    <xf numFmtId="164" fontId="0" fillId="0" borderId="0" pivotButton="0" quotePrefix="0" xfId="0"/>
  </cellXfs>
  <cellStyles count="8">
    <cellStyle name="Normal" xfId="0" builtinId="0" hidden="0"/>
    <cellStyle name="title" xfId="1" hidden="0"/>
    <cellStyle name="header" xfId="2" hidden="0"/>
    <cellStyle name="subheader" xfId="3" hidden="0"/>
    <cellStyle name="input_cell" xfId="4" hidden="0"/>
    <cellStyle name="output_cell" xfId="5" hidden="0"/>
    <cellStyle name="label" xfId="6" hidden="0"/>
    <cellStyle name="total" xfId="7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&amp; EBITDA (₹ Crores)</a:t>
            </a:r>
          </a:p>
        </rich>
      </tx>
    </title>
    <plotArea>
      <barChart>
        <barDir val="col"/>
        <grouping val="clustered"/>
        <ser>
          <idx val="0"/>
          <order val="0"/>
          <tx>
            <v>Revenue</v>
          </tx>
          <spPr>
            <a:ln xmlns:a="http://schemas.openxmlformats.org/drawingml/2006/main">
              <a:prstDash val="solid"/>
            </a:ln>
          </spPr>
          <cat>
            <numRef>
              <f>'Dashboard'!$C$41:$L$41</f>
            </numRef>
          </cat>
          <val>
            <numRef>
              <f>'Dashboard'!$C$42:$L$42</f>
            </numRef>
          </val>
        </ser>
        <ser>
          <idx val="1"/>
          <order val="1"/>
          <tx>
            <v>EBITDA</v>
          </tx>
          <spPr>
            <a:ln xmlns:a="http://schemas.openxmlformats.org/drawingml/2006/main">
              <a:prstDash val="solid"/>
            </a:ln>
          </spPr>
          <cat>
            <numRef>
              <f>'Dashboard'!$C$41:$L$41</f>
            </numRef>
          </cat>
          <val>
            <numRef>
              <f>'Dashboard'!$C$43:$L$43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EBITDA Margin Trend</a:t>
            </a:r>
          </a:p>
        </rich>
      </tx>
    </title>
    <plotArea>
      <lineChart>
        <grouping val="standard"/>
        <ser>
          <idx val="0"/>
          <order val="0"/>
          <tx>
            <v>EBITDA Margin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'Dashboard'!$C$41:$L$41</f>
            </numRef>
          </cat>
          <val>
            <numRef>
              <f>'Dashboard'!$C$45:$L$45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Margin %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Net Income Trend (₹ Crores)</a:t>
            </a:r>
          </a:p>
        </rich>
      </tx>
    </title>
    <plotArea>
      <lineChart>
        <grouping val="standard"/>
        <ser>
          <idx val="0"/>
          <order val="0"/>
          <tx>
            <v>Net Income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'Dashboard'!$C$41:$L$41</f>
            </numRef>
          </cat>
          <val>
            <numRef>
              <f>'Dashboard'!$C$44:$L$44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DCF Valuation Bridge (₹ Crores)</a:t>
            </a:r>
          </a:p>
        </rich>
      </tx>
    </title>
    <plotArea>
      <barChart>
        <barDir val="col"/>
        <grouping val="stacked"/>
        <ser>
          <idx val="0"/>
          <order val="0"/>
          <tx>
            <strRef>
              <f>'Dashboard'!D51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'Dashboard'!$B$52:$B$56</f>
            </numRef>
          </cat>
          <val>
            <numRef>
              <f>'Dashboard'!$D$52:$D$56</f>
            </numRef>
          </val>
        </ser>
        <ser>
          <idx val="1"/>
          <order val="1"/>
          <tx>
            <strRef>
              <f>'Dashboard'!E51</f>
            </strRef>
          </tx>
          <spPr>
            <a:solidFill xmlns:a="http://schemas.openxmlformats.org/drawingml/2006/main">
              <a:srgbClr val="63BE7B"/>
            </a:solidFill>
            <a:ln xmlns:a="http://schemas.openxmlformats.org/drawingml/2006/main">
              <a:prstDash val="solid"/>
            </a:ln>
          </spPr>
          <cat>
            <numRef>
              <f>'Dashboard'!$B$52:$B$56</f>
            </numRef>
          </cat>
          <val>
            <numRef>
              <f>'Dashboard'!$E$52:$E$56</f>
            </numRef>
          </val>
        </ser>
        <ser>
          <idx val="2"/>
          <order val="2"/>
          <tx>
            <strRef>
              <f>'Dashboard'!F51</f>
            </strRef>
          </tx>
          <spPr>
            <a:solidFill xmlns:a="http://schemas.openxmlformats.org/drawingml/2006/main">
              <a:srgbClr val="F8696B"/>
            </a:solidFill>
            <a:ln xmlns:a="http://schemas.openxmlformats.org/drawingml/2006/main">
              <a:prstDash val="solid"/>
            </a:ln>
          </spPr>
          <cat>
            <numRef>
              <f>'Dashboard'!$B$52:$B$56</f>
            </numRef>
          </cat>
          <val>
            <numRef>
              <f>'Dashboard'!$F$52:$F$56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drawing1.xml><?xml version="1.0" encoding="utf-8"?>
<wsDr xmlns="http://schemas.openxmlformats.org/drawingml/2006/spreadsheetDrawing">
  <oneCellAnchor>
    <from>
      <col>1</col>
      <colOff>0</colOff>
      <row>4</row>
      <rowOff>0</rowOff>
    </from>
    <ext cx="648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11</col>
      <colOff>0</colOff>
      <row>4</row>
      <rowOff>0</rowOff>
    </from>
    <ext cx="432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11</col>
      <colOff>0</colOff>
      <row>17</row>
      <rowOff>0</rowOff>
    </from>
    <ext cx="432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</col>
      <colOff>0</colOff>
      <row>31</row>
      <rowOff>0</rowOff>
    </from>
    <ext cx="576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hyperlink" Target="#'Summary'!A1" TargetMode="External" Id="rId1"/><Relationship Type="http://schemas.openxmlformats.org/officeDocument/2006/relationships/hyperlink" Target="#'Assumptions'!A1" TargetMode="External" Id="rId2"/><Relationship Type="http://schemas.openxmlformats.org/officeDocument/2006/relationships/hyperlink" Target="#'Income_Statement'!A1" TargetMode="External" Id="rId3"/><Relationship Type="http://schemas.openxmlformats.org/officeDocument/2006/relationships/hyperlink" Target="#'Balance_Sheet'!A1" TargetMode="External" Id="rId4"/><Relationship Type="http://schemas.openxmlformats.org/officeDocument/2006/relationships/hyperlink" Target="#'Cash_Flow'!A1" TargetMode="External" Id="rId5"/><Relationship Type="http://schemas.openxmlformats.org/officeDocument/2006/relationships/hyperlink" Target="#'Valuation'!A1" TargetMode="External" Id="rId6"/><Relationship Type="http://schemas.openxmlformats.org/officeDocument/2006/relationships/hyperlink" Target="#'Sensitivity'!A1" TargetMode="External" Id="rId7"/><Relationship Type="http://schemas.openxmlformats.org/officeDocument/2006/relationships/hyperlink" Target="#'Scenarios'!A1" TargetMode="External" Id="rId8"/><Relationship Type="http://schemas.openxmlformats.org/officeDocument/2006/relationships/hyperlink" Target="#'Dashboard'!A1" TargetMode="External" Id="rId9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3"/>
  <sheetViews>
    <sheetView workbookViewId="0">
      <selection activeCell="A1" sqref="A1"/>
    </sheetView>
  </sheetViews>
  <sheetFormatPr baseColWidth="8" defaultRowHeight="15"/>
  <cols>
    <col width="80" customWidth="1" min="1" max="1"/>
  </cols>
  <sheetData>
    <row r="1">
      <c r="A1" s="30" t="inlineStr">
        <is>
          <t>VBA SETUP INSTRUCTIONS</t>
        </is>
      </c>
    </row>
    <row r="3">
      <c r="A3" t="inlineStr">
        <is>
          <t>This workbook contains VBA automation modules.</t>
        </is>
      </c>
    </row>
    <row r="4">
      <c r="A4" t="inlineStr">
        <is>
          <t>To enable VBA functionality:</t>
        </is>
      </c>
    </row>
    <row r="6">
      <c r="A6" t="inlineStr">
        <is>
          <t>1. Save this file as .xlsm (Excel Macro-Enabled Workbook)</t>
        </is>
      </c>
    </row>
    <row r="7">
      <c r="A7" t="inlineStr">
        <is>
          <t>2. Press Alt+F11 to open VBA Editor</t>
        </is>
      </c>
    </row>
    <row r="8">
      <c r="A8" t="inlineStr">
        <is>
          <t>3. Right-click on VBAProject → Import File</t>
        </is>
      </c>
    </row>
    <row r="9">
      <c r="A9" t="inlineStr">
        <is>
          <t>4. Import the .bas files from the 'vba_modules' folder</t>
        </is>
      </c>
    </row>
    <row r="10">
      <c r="A10" t="inlineStr">
        <is>
          <t>5. Close VBA Editor and save</t>
        </is>
      </c>
    </row>
    <row r="12">
      <c r="A12" s="26" t="inlineStr">
        <is>
          <t>VBA Modules Included:</t>
        </is>
      </c>
    </row>
    <row r="13">
      <c r="A13" t="inlineStr">
        <is>
          <t xml:space="preserve">  • modAPI.bas - API integration for live data</t>
        </is>
      </c>
    </row>
    <row r="14">
      <c r="A14" t="inlineStr">
        <is>
          <t xml:space="preserve">  • modCalc.bas - Financial calculation functions</t>
        </is>
      </c>
    </row>
    <row r="15">
      <c r="A15" t="inlineStr">
        <is>
          <t xml:space="preserve">  • modDashboard.bas - Dashboard controls and PDF export</t>
        </is>
      </c>
    </row>
    <row r="16">
      <c r="A16" t="inlineStr">
        <is>
          <t xml:space="preserve">  • modValidation.bas - Model audit and validation</t>
        </is>
      </c>
    </row>
    <row r="17">
      <c r="A17" t="inlineStr">
        <is>
          <t xml:space="preserve">  • modScenario.bas - Scenario management (Bull/Bear/Base)</t>
        </is>
      </c>
    </row>
    <row r="19">
      <c r="A19" s="26" t="inlineStr">
        <is>
          <t>Quick Actions (after VBA is enabled):</t>
        </is>
      </c>
    </row>
    <row r="20">
      <c r="A20" t="inlineStr">
        <is>
          <t xml:space="preserve">  • Run modAPI.RefreshStockData() - Refresh stock data from API</t>
        </is>
      </c>
    </row>
    <row r="21">
      <c r="A21" t="inlineStr">
        <is>
          <t xml:space="preserve">  • Run modValidation.RunValidation() - Check model for errors</t>
        </is>
      </c>
    </row>
    <row r="22">
      <c r="A22" t="inlineStr">
        <is>
          <t xml:space="preserve">  • Run modDashboard.UpdateDashboard() - Refresh dashboard</t>
        </is>
      </c>
    </row>
    <row r="23">
      <c r="A23" t="inlineStr">
        <is>
          <t xml:space="preserve">  • Run modScenario.RunBullCase() - Apply bull case assumptions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F16"/>
  <sheetViews>
    <sheetView workbookViewId="0">
      <selection activeCell="A1" sqref="A1"/>
    </sheetView>
  </sheetViews>
  <sheetFormatPr baseColWidth="8" defaultRowHeight="15"/>
  <cols>
    <col width="3" customWidth="1" min="1" max="1"/>
    <col width="25" customWidth="1" min="2" max="2"/>
    <col width="18" customWidth="1" min="3" max="3"/>
    <col width="5" customWidth="1" min="4" max="4"/>
    <col width="25" customWidth="1" min="5" max="5"/>
    <col width="18" customWidth="1" min="6" max="6"/>
  </cols>
  <sheetData>
    <row r="2">
      <c r="B2" s="1" t="inlineStr">
        <is>
          <t>LTI</t>
        </is>
      </c>
    </row>
    <row r="3">
      <c r="B3" s="2" t="inlineStr">
        <is>
          <t>Financial Model Summary</t>
        </is>
      </c>
    </row>
    <row r="4">
      <c r="B4" s="3" t="inlineStr">
        <is>
          <t>Generated: 01-Feb-2026</t>
        </is>
      </c>
    </row>
    <row r="7">
      <c r="B7" s="4" t="inlineStr">
        <is>
          <t>Company Information</t>
        </is>
      </c>
      <c r="E7" s="4" t="inlineStr">
        <is>
          <t>Model Navigation</t>
        </is>
      </c>
    </row>
    <row r="8">
      <c r="B8" s="5" t="inlineStr">
        <is>
          <t>Industry</t>
        </is>
      </c>
      <c r="C8" t="inlineStr">
        <is>
          <t>General Corporate</t>
        </is>
      </c>
      <c r="E8" s="6" t="inlineStr">
        <is>
          <t>Summary</t>
        </is>
      </c>
    </row>
    <row r="9">
      <c r="B9" s="5" t="inlineStr">
        <is>
          <t>Model Type</t>
        </is>
      </c>
      <c r="C9" t="inlineStr">
        <is>
          <t>General</t>
        </is>
      </c>
      <c r="E9" s="6" t="inlineStr">
        <is>
          <t>Assumptions</t>
        </is>
      </c>
    </row>
    <row r="10">
      <c r="B10" s="5" t="inlineStr">
        <is>
          <t>Forecast Period</t>
        </is>
      </c>
      <c r="C10" t="inlineStr">
        <is>
          <t>5 Years</t>
        </is>
      </c>
      <c r="E10" s="6" t="inlineStr">
        <is>
          <t>Income Statement</t>
        </is>
      </c>
    </row>
    <row r="11">
      <c r="E11" s="6" t="inlineStr">
        <is>
          <t>Balance Sheet</t>
        </is>
      </c>
    </row>
    <row r="12">
      <c r="B12" s="4" t="inlineStr">
        <is>
          <t>Key Outputs</t>
        </is>
      </c>
      <c r="E12" s="6" t="inlineStr">
        <is>
          <t>Cash Flow</t>
        </is>
      </c>
    </row>
    <row r="13">
      <c r="B13" s="5" t="inlineStr">
        <is>
          <t>Implied Share Price</t>
        </is>
      </c>
      <c r="C13" s="31">
        <f>Valuation!C40</f>
        <v/>
      </c>
      <c r="E13" s="6" t="inlineStr">
        <is>
          <t>Valuation</t>
        </is>
      </c>
    </row>
    <row r="14">
      <c r="B14" s="5" t="inlineStr">
        <is>
          <t>Enterprise Value</t>
        </is>
      </c>
      <c r="C14" s="8">
        <f>Valuation!C35</f>
        <v/>
      </c>
      <c r="E14" s="6" t="inlineStr">
        <is>
          <t>Sensitivity</t>
        </is>
      </c>
    </row>
    <row r="15">
      <c r="B15" s="5" t="inlineStr">
        <is>
          <t>Equity Value</t>
        </is>
      </c>
      <c r="C15" s="8">
        <f>Valuation!C37</f>
        <v/>
      </c>
      <c r="E15" s="6" t="inlineStr">
        <is>
          <t>Scenarios</t>
        </is>
      </c>
    </row>
    <row r="16">
      <c r="B16" s="5" t="inlineStr">
        <is>
          <t>WACC</t>
        </is>
      </c>
      <c r="C16" s="32">
        <f>Valuation!C19</f>
        <v/>
      </c>
      <c r="E16" s="6" t="inlineStr">
        <is>
          <t>Dashboard</t>
        </is>
      </c>
    </row>
  </sheetData>
  <mergeCells count="4">
    <mergeCell ref="B2:F2"/>
    <mergeCell ref="E7:F7"/>
    <mergeCell ref="B12:C12"/>
    <mergeCell ref="B7:C7"/>
  </mergeCells>
  <hyperlinks>
    <hyperlink xmlns:r="http://schemas.openxmlformats.org/officeDocument/2006/relationships" ref="E8" r:id="rId1"/>
    <hyperlink xmlns:r="http://schemas.openxmlformats.org/officeDocument/2006/relationships" ref="E9" r:id="rId2"/>
    <hyperlink xmlns:r="http://schemas.openxmlformats.org/officeDocument/2006/relationships" ref="E10" r:id="rId3"/>
    <hyperlink xmlns:r="http://schemas.openxmlformats.org/officeDocument/2006/relationships" ref="E11" r:id="rId4"/>
    <hyperlink xmlns:r="http://schemas.openxmlformats.org/officeDocument/2006/relationships" ref="E12" r:id="rId5"/>
    <hyperlink xmlns:r="http://schemas.openxmlformats.org/officeDocument/2006/relationships" ref="E13" r:id="rId6"/>
    <hyperlink xmlns:r="http://schemas.openxmlformats.org/officeDocument/2006/relationships" ref="E14" r:id="rId7"/>
    <hyperlink xmlns:r="http://schemas.openxmlformats.org/officeDocument/2006/relationships" ref="E15" r:id="rId8"/>
    <hyperlink xmlns:r="http://schemas.openxmlformats.org/officeDocument/2006/relationships" ref="E16" r:id="rId9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E52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0" customWidth="1" min="4" max="4"/>
    <col width="32" customWidth="1" min="5" max="5"/>
  </cols>
  <sheetData>
    <row r="2">
      <c r="B2" s="1" t="inlineStr">
        <is>
          <t>Model Assumptions</t>
        </is>
      </c>
    </row>
    <row r="4">
      <c r="B4" s="10" t="inlineStr">
        <is>
          <t>Data Sources: Yahoo Finance + Screener.in + Damodaran</t>
        </is>
      </c>
    </row>
    <row r="5">
      <c r="B5" s="11" t="inlineStr">
        <is>
          <t>Yellow cells are inputs - modify to update projections</t>
        </is>
      </c>
    </row>
    <row r="7">
      <c r="B7" s="4" t="inlineStr">
        <is>
          <t>GROWTH ASSUMPTIONS</t>
        </is>
      </c>
    </row>
    <row r="8">
      <c r="B8" s="5" t="inlineStr">
        <is>
          <t>Revenue Growth Rate</t>
        </is>
      </c>
      <c r="C8" s="33" t="n">
        <v>0.1</v>
      </c>
      <c r="D8" t="inlineStr">
        <is>
          <t>percent</t>
        </is>
      </c>
      <c r="E8" s="13" t="inlineStr">
        <is>
          <t>From Damodaran industry data</t>
        </is>
      </c>
    </row>
    <row r="9">
      <c r="B9" s="5" t="inlineStr">
        <is>
          <t>Volume Growth</t>
        </is>
      </c>
      <c r="C9" s="33" t="n">
        <v>0.06</v>
      </c>
      <c r="D9" t="inlineStr">
        <is>
          <t>percent</t>
        </is>
      </c>
      <c r="E9" s="13" t="inlineStr">
        <is>
          <t>Estimated 60% of revenue growth</t>
        </is>
      </c>
    </row>
    <row r="10">
      <c r="B10" s="5" t="inlineStr">
        <is>
          <t>Price Inflation</t>
        </is>
      </c>
      <c r="C10" s="33" t="n">
        <v>0.04000000000000001</v>
      </c>
      <c r="D10" t="inlineStr">
        <is>
          <t>percent</t>
        </is>
      </c>
      <c r="E10" s="13" t="inlineStr">
        <is>
          <t>Estimated 40% of revenue growth</t>
        </is>
      </c>
    </row>
    <row r="12">
      <c r="B12" s="4" t="inlineStr">
        <is>
          <t>MARGIN ASSUMPTIONS (Real Data)</t>
        </is>
      </c>
    </row>
    <row r="13">
      <c r="B13" s="5" t="inlineStr">
        <is>
          <t>Gross Margin</t>
        </is>
      </c>
      <c r="C13" s="33" t="n">
        <v>0.35</v>
      </c>
      <c r="D13" t="inlineStr">
        <is>
          <t>percent</t>
        </is>
      </c>
      <c r="E13" s="13" t="inlineStr">
        <is>
          <t>From company financials</t>
        </is>
      </c>
    </row>
    <row r="14">
      <c r="B14" s="5" t="inlineStr">
        <is>
          <t>EBITDA Margin</t>
        </is>
      </c>
      <c r="C14" s="33" t="n">
        <v>0.2</v>
      </c>
      <c r="D14" t="inlineStr">
        <is>
          <t>percent</t>
        </is>
      </c>
      <c r="E14" s="13" t="inlineStr">
        <is>
          <t>From company financials</t>
        </is>
      </c>
    </row>
    <row r="15">
      <c r="B15" s="5" t="inlineStr">
        <is>
          <t>Operating Margin</t>
        </is>
      </c>
      <c r="C15" s="33" t="n">
        <v>0.15</v>
      </c>
      <c r="D15" t="inlineStr">
        <is>
          <t>percent</t>
        </is>
      </c>
      <c r="E15" s="13" t="inlineStr">
        <is>
          <t>EBIT/Revenue</t>
        </is>
      </c>
    </row>
    <row r="16">
      <c r="B16" s="5" t="inlineStr">
        <is>
          <t>Net Margin</t>
        </is>
      </c>
      <c r="C16" s="33" t="n">
        <v>0.1</v>
      </c>
      <c r="D16" t="inlineStr">
        <is>
          <t>percent</t>
        </is>
      </c>
      <c r="E16" s="13" t="inlineStr">
        <is>
          <t>From company financials</t>
        </is>
      </c>
    </row>
    <row r="17">
      <c r="B17" s="5" t="inlineStr">
        <is>
          <t>SG&amp;A as % of Revenue</t>
        </is>
      </c>
      <c r="C17" s="33" t="n">
        <v>0.13</v>
      </c>
      <c r="D17" t="inlineStr">
        <is>
          <t>percent</t>
        </is>
      </c>
      <c r="E17" s="13" t="inlineStr">
        <is>
          <t>Calculated from margins</t>
        </is>
      </c>
    </row>
    <row r="19">
      <c r="B19" s="4" t="inlineStr">
        <is>
          <t>WORKING CAPITAL</t>
        </is>
      </c>
    </row>
    <row r="20">
      <c r="B20" s="5" t="inlineStr">
        <is>
          <t>Receivable Days</t>
        </is>
      </c>
      <c r="C20" s="14" t="n">
        <v>45</v>
      </c>
      <c r="D20" t="inlineStr">
        <is>
          <t>days</t>
        </is>
      </c>
      <c r="E20" s="13" t="inlineStr">
        <is>
          <t>DSO - industry standard</t>
        </is>
      </c>
    </row>
    <row r="21">
      <c r="B21" s="5" t="inlineStr">
        <is>
          <t>Inventory Days</t>
        </is>
      </c>
      <c r="C21" s="14" t="n">
        <v>30</v>
      </c>
      <c r="D21" t="inlineStr">
        <is>
          <t>days</t>
        </is>
      </c>
      <c r="E21" s="13" t="inlineStr">
        <is>
          <t>DIO - industry standard</t>
        </is>
      </c>
    </row>
    <row r="22">
      <c r="B22" s="5" t="inlineStr">
        <is>
          <t>Payable Days</t>
        </is>
      </c>
      <c r="C22" s="14" t="n">
        <v>60</v>
      </c>
      <c r="D22" t="inlineStr">
        <is>
          <t>days</t>
        </is>
      </c>
      <c r="E22" s="13" t="inlineStr">
        <is>
          <t>DPO - industry standard</t>
        </is>
      </c>
    </row>
    <row r="24">
      <c r="B24" s="4" t="inlineStr">
        <is>
          <t>CAPEX &amp; D&amp;A (Damodaran)</t>
        </is>
      </c>
    </row>
    <row r="25">
      <c r="B25" s="5" t="inlineStr">
        <is>
          <t>Capex % of Revenue</t>
        </is>
      </c>
      <c r="C25" s="33" t="n">
        <v>0.05</v>
      </c>
      <c r="D25" t="inlineStr">
        <is>
          <t>percent</t>
        </is>
      </c>
      <c r="E25" s="13" t="inlineStr">
        <is>
          <t>Damodaran industry data</t>
        </is>
      </c>
    </row>
    <row r="26">
      <c r="B26" s="5" t="inlineStr">
        <is>
          <t>D&amp;A % of Gross PPE</t>
        </is>
      </c>
      <c r="C26" s="33" t="n">
        <v>0.04</v>
      </c>
      <c r="D26" t="inlineStr">
        <is>
          <t>percent</t>
        </is>
      </c>
      <c r="E26" s="13" t="inlineStr">
        <is>
          <t>Derived from capex/depreciation ratio</t>
        </is>
      </c>
    </row>
    <row r="28">
      <c r="B28" s="4" t="inlineStr">
        <is>
          <t>DEBT ASSUMPTIONS</t>
        </is>
      </c>
    </row>
    <row r="29">
      <c r="B29" s="5" t="inlineStr">
        <is>
          <t>Cost of Debt</t>
        </is>
      </c>
      <c r="C29" s="33" t="n">
        <v>0.09</v>
      </c>
      <c r="D29" t="inlineStr">
        <is>
          <t>percent</t>
        </is>
      </c>
      <c r="E29" s="13" t="inlineStr">
        <is>
          <t>Damodaran industry WACC</t>
        </is>
      </c>
    </row>
    <row r="30">
      <c r="B30" s="5" t="inlineStr">
        <is>
          <t>Debt/Equity Ratio</t>
        </is>
      </c>
      <c r="C30" s="34" t="n">
        <v>0.3333333333333333</v>
      </c>
      <c r="D30" t="inlineStr">
        <is>
          <t>ratio</t>
        </is>
      </c>
      <c r="E30" s="13" t="inlineStr">
        <is>
          <t>From Damodaran</t>
        </is>
      </c>
    </row>
    <row r="32">
      <c r="B32" s="4" t="inlineStr">
        <is>
          <t>VALUATION INPUTS (Damodaran)</t>
        </is>
      </c>
    </row>
    <row r="33">
      <c r="B33" s="5" t="inlineStr">
        <is>
          <t>Risk-free Rate</t>
        </is>
      </c>
      <c r="C33" s="33" t="n">
        <v>0.07000000000000001</v>
      </c>
      <c r="D33" t="inlineStr">
        <is>
          <t>percent</t>
        </is>
      </c>
      <c r="E33" s="13" t="inlineStr">
        <is>
          <t>India 10Y G-Sec from Damodaran</t>
        </is>
      </c>
    </row>
    <row r="34">
      <c r="B34" s="5" t="inlineStr">
        <is>
          <t>Equity Risk Premium</t>
        </is>
      </c>
      <c r="C34" s="33" t="n">
        <v>0.055</v>
      </c>
      <c r="D34" t="inlineStr">
        <is>
          <t>percent</t>
        </is>
      </c>
      <c r="E34" s="13" t="inlineStr">
        <is>
          <t>India ERP from Damodaran</t>
        </is>
      </c>
    </row>
    <row r="35">
      <c r="B35" s="5" t="inlineStr">
        <is>
          <t>Beta</t>
        </is>
      </c>
      <c r="C35" s="34" t="n">
        <v>1</v>
      </c>
      <c r="D35" t="inlineStr">
        <is>
          <t>ratio</t>
        </is>
      </c>
      <c r="E35" s="13" t="inlineStr">
        <is>
          <t>From Yahoo Finance/Damodaran</t>
        </is>
      </c>
    </row>
    <row r="36">
      <c r="B36" s="5" t="inlineStr">
        <is>
          <t>Cost of Equity</t>
        </is>
      </c>
      <c r="C36" s="33" t="n">
        <v>0.125</v>
      </c>
      <c r="D36" t="inlineStr">
        <is>
          <t>percent</t>
        </is>
      </c>
      <c r="E36" s="13" t="inlineStr">
        <is>
          <t>CAPM: Rf + β × ERP</t>
        </is>
      </c>
    </row>
    <row r="37">
      <c r="B37" s="5" t="inlineStr">
        <is>
          <t>Terminal Growth Rate</t>
        </is>
      </c>
      <c r="C37" s="33" t="n">
        <v>0.04</v>
      </c>
      <c r="D37" t="inlineStr">
        <is>
          <t>percent</t>
        </is>
      </c>
      <c r="E37" s="13" t="inlineStr">
        <is>
          <t>Conservative long-term GDP growth</t>
        </is>
      </c>
    </row>
    <row r="38">
      <c r="B38" s="5" t="inlineStr">
        <is>
          <t>Tax Rate</t>
        </is>
      </c>
      <c r="C38" s="33" t="n">
        <v>0.25</v>
      </c>
      <c r="D38" t="inlineStr">
        <is>
          <t>percent</t>
        </is>
      </c>
      <c r="E38" s="13" t="inlineStr">
        <is>
          <t>India corporate tax from Damodaran</t>
        </is>
      </c>
    </row>
    <row r="40">
      <c r="B40" s="4" t="inlineStr">
        <is>
          <t>COMPANY DATA (Screener.in + Yahoo)</t>
        </is>
      </c>
    </row>
    <row r="41">
      <c r="B41" s="5" t="inlineStr">
        <is>
          <t>Shares Outstanding (Cr)</t>
        </is>
      </c>
      <c r="C41" s="14" t="n">
        <v>10</v>
      </c>
      <c r="D41" t="inlineStr">
        <is>
          <t>number</t>
        </is>
      </c>
      <c r="E41" s="13" t="inlineStr">
        <is>
          <t>From Yahoo Finance</t>
        </is>
      </c>
    </row>
    <row r="42">
      <c r="B42" s="5" t="inlineStr">
        <is>
          <t>Current Price (₹)</t>
        </is>
      </c>
      <c r="C42" s="35" t="n">
        <v>5969.85</v>
      </c>
      <c r="D42" t="inlineStr">
        <is>
          <t>currency</t>
        </is>
      </c>
      <c r="E42" s="13" t="inlineStr">
        <is>
          <t>Live market price</t>
        </is>
      </c>
    </row>
    <row r="43">
      <c r="B43" s="5" t="inlineStr">
        <is>
          <t>Market Cap (₹ Cr)</t>
        </is>
      </c>
      <c r="C43" s="14" t="n">
        <v>0</v>
      </c>
      <c r="D43" t="inlineStr">
        <is>
          <t>number</t>
        </is>
      </c>
      <c r="E43" s="13" t="inlineStr">
        <is>
          <t>Market capitalization</t>
        </is>
      </c>
    </row>
    <row r="45">
      <c r="B45" s="4" t="inlineStr">
        <is>
          <t>KEY RATIOS (Screener.in Real)</t>
        </is>
      </c>
    </row>
    <row r="46">
      <c r="B46" s="5" t="inlineStr">
        <is>
          <t>Stock P/E</t>
        </is>
      </c>
      <c r="C46" s="34" t="n">
        <v>0</v>
      </c>
      <c r="D46" t="inlineStr">
        <is>
          <t>ratio</t>
        </is>
      </c>
      <c r="E46" s="13" t="inlineStr">
        <is>
          <t>From Screener.in</t>
        </is>
      </c>
    </row>
    <row r="47">
      <c r="B47" s="5" t="inlineStr">
        <is>
          <t>Price to Book</t>
        </is>
      </c>
      <c r="C47" s="34" t="n">
        <v>0</v>
      </c>
      <c r="D47" t="inlineStr">
        <is>
          <t>ratio</t>
        </is>
      </c>
      <c r="E47" s="13" t="inlineStr">
        <is>
          <t>From Screener.in</t>
        </is>
      </c>
    </row>
    <row r="48">
      <c r="B48" s="5" t="inlineStr">
        <is>
          <t>ROCE (%)</t>
        </is>
      </c>
      <c r="C48" s="33" t="n">
        <v>0</v>
      </c>
      <c r="D48" t="inlineStr">
        <is>
          <t>percent</t>
        </is>
      </c>
      <c r="E48" s="13" t="inlineStr">
        <is>
          <t>Return on Capital Employed - Screener.in</t>
        </is>
      </c>
    </row>
    <row r="49">
      <c r="B49" s="5" t="inlineStr">
        <is>
          <t>ROE (%)</t>
        </is>
      </c>
      <c r="C49" s="33" t="n">
        <v>0</v>
      </c>
      <c r="D49" t="inlineStr">
        <is>
          <t>percent</t>
        </is>
      </c>
      <c r="E49" s="13" t="inlineStr">
        <is>
          <t>Return on Equity - Screener.in</t>
        </is>
      </c>
    </row>
    <row r="50">
      <c r="B50" s="5" t="inlineStr">
        <is>
          <t>Book Value (₹)</t>
        </is>
      </c>
      <c r="C50" s="35" t="n">
        <v>0</v>
      </c>
      <c r="D50" t="inlineStr">
        <is>
          <t>currency</t>
        </is>
      </c>
      <c r="E50" s="13" t="inlineStr">
        <is>
          <t>From Screener.in</t>
        </is>
      </c>
    </row>
    <row r="51">
      <c r="B51" s="5" t="inlineStr">
        <is>
          <t>Face Value (₹)</t>
        </is>
      </c>
      <c r="C51" s="35" t="n">
        <v>10</v>
      </c>
      <c r="D51" t="inlineStr">
        <is>
          <t>currency</t>
        </is>
      </c>
      <c r="E51" s="13" t="inlineStr">
        <is>
          <t>From Screener.in</t>
        </is>
      </c>
    </row>
    <row r="52">
      <c r="B52" s="5" t="inlineStr">
        <is>
          <t>Dividend Yield (%)</t>
        </is>
      </c>
      <c r="C52" s="33" t="n">
        <v>0</v>
      </c>
      <c r="D52" t="inlineStr">
        <is>
          <t>percent</t>
        </is>
      </c>
      <c r="E52" s="13" t="inlineStr">
        <is>
          <t>From Yahoo Finance</t>
        </is>
      </c>
    </row>
  </sheetData>
  <mergeCells count="8">
    <mergeCell ref="B45:E45"/>
    <mergeCell ref="B40:E40"/>
    <mergeCell ref="B12:E12"/>
    <mergeCell ref="B7:E7"/>
    <mergeCell ref="B24:E24"/>
    <mergeCell ref="B19:E19"/>
    <mergeCell ref="B28:E28"/>
    <mergeCell ref="B32:E3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2:L27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</cols>
  <sheetData>
    <row r="2">
      <c r="B2" s="1" t="inlineStr">
        <is>
          <t>Income Statement (₹ Crores)</t>
        </is>
      </c>
    </row>
    <row r="4">
      <c r="C4" s="17" t="inlineStr">
        <is>
          <t>FY2021</t>
        </is>
      </c>
      <c r="D4" s="17" t="inlineStr">
        <is>
          <t>FY2022</t>
        </is>
      </c>
      <c r="E4" s="17" t="inlineStr">
        <is>
          <t>FY2023</t>
        </is>
      </c>
      <c r="F4" s="17" t="inlineStr">
        <is>
          <t>FY2024</t>
        </is>
      </c>
      <c r="G4" s="17" t="inlineStr">
        <is>
          <t>FY2025</t>
        </is>
      </c>
      <c r="H4" s="17" t="inlineStr">
        <is>
          <t>FY2026E</t>
        </is>
      </c>
      <c r="I4" s="17" t="inlineStr">
        <is>
          <t>FY2027E</t>
        </is>
      </c>
      <c r="J4" s="17" t="inlineStr">
        <is>
          <t>FY2028E</t>
        </is>
      </c>
      <c r="K4" s="17" t="inlineStr">
        <is>
          <t>FY2029E</t>
        </is>
      </c>
      <c r="L4" s="17" t="inlineStr">
        <is>
          <t>FY2030E</t>
        </is>
      </c>
    </row>
    <row r="6">
      <c r="B6" s="18" t="inlineStr">
        <is>
          <t>Revenue</t>
        </is>
      </c>
      <c r="C6" s="19" t="n">
        <v>10000</v>
      </c>
      <c r="D6" s="19">
        <f>IFERROR(C6*(1+Assumptions!$C$8),0)</f>
        <v/>
      </c>
      <c r="E6" s="19">
        <f>IFERROR(D6*(1+Assumptions!$C$8),0)</f>
        <v/>
      </c>
      <c r="F6" s="19">
        <f>IFERROR(E6*(1+Assumptions!$C$8),0)</f>
        <v/>
      </c>
      <c r="G6" s="19">
        <f>IFERROR(F6*(1+Assumptions!$C$8),0)</f>
        <v/>
      </c>
      <c r="H6" s="19">
        <f>IFERROR(G6*(1+Assumptions!$C$8),0)</f>
        <v/>
      </c>
      <c r="I6" s="19">
        <f>IFERROR(H6*(1+Assumptions!$C$8),0)</f>
        <v/>
      </c>
      <c r="J6" s="19">
        <f>IFERROR(I6*(1+Assumptions!$C$8),0)</f>
        <v/>
      </c>
      <c r="K6" s="19">
        <f>IFERROR(J6*(1+Assumptions!$C$8),0)</f>
        <v/>
      </c>
      <c r="L6" s="19">
        <f>IFERROR(K6*(1+Assumptions!$C$8),0)</f>
        <v/>
      </c>
    </row>
    <row r="7">
      <c r="B7" s="5" t="inlineStr">
        <is>
          <t>Growth %</t>
        </is>
      </c>
      <c r="C7" s="36" t="n"/>
      <c r="D7" s="36">
        <f>IFERROR(D6/C6-1,0)</f>
        <v/>
      </c>
      <c r="E7" s="36">
        <f>IFERROR(E6/D6-1,0)</f>
        <v/>
      </c>
      <c r="F7" s="36">
        <f>IFERROR(F6/E6-1,0)</f>
        <v/>
      </c>
      <c r="G7" s="36">
        <f>IFERROR(G6/F6-1,0)</f>
        <v/>
      </c>
      <c r="H7" s="36">
        <f>IFERROR(H6/G6-1,0)</f>
        <v/>
      </c>
      <c r="I7" s="36">
        <f>IFERROR(I6/H6-1,0)</f>
        <v/>
      </c>
      <c r="J7" s="36">
        <f>IFERROR(J6/I6-1,0)</f>
        <v/>
      </c>
      <c r="K7" s="36">
        <f>IFERROR(K6/J6-1,0)</f>
        <v/>
      </c>
      <c r="L7" s="36">
        <f>IFERROR(L6/K6-1,0)</f>
        <v/>
      </c>
    </row>
    <row r="9">
      <c r="B9" s="5" t="inlineStr">
        <is>
          <t>Cost of Goods Sold</t>
        </is>
      </c>
      <c r="C9" s="19">
        <f>IFERROR(-C6*(1-Assumptions!$C$14),0)</f>
        <v/>
      </c>
      <c r="D9" s="19">
        <f>IFERROR(-D6*(1-Assumptions!$C$14),0)</f>
        <v/>
      </c>
      <c r="E9" s="19">
        <f>IFERROR(-E6*(1-Assumptions!$C$14),0)</f>
        <v/>
      </c>
      <c r="F9" s="19">
        <f>IFERROR(-F6*(1-Assumptions!$C$14),0)</f>
        <v/>
      </c>
      <c r="G9" s="19">
        <f>IFERROR(-G6*(1-Assumptions!$C$14),0)</f>
        <v/>
      </c>
      <c r="H9" s="19">
        <f>IFERROR(-H6*(1-Assumptions!$C$14),0)</f>
        <v/>
      </c>
      <c r="I9" s="19">
        <f>IFERROR(-I6*(1-Assumptions!$C$14),0)</f>
        <v/>
      </c>
      <c r="J9" s="19">
        <f>IFERROR(-J6*(1-Assumptions!$C$14),0)</f>
        <v/>
      </c>
      <c r="K9" s="19">
        <f>IFERROR(-K6*(1-Assumptions!$C$14),0)</f>
        <v/>
      </c>
      <c r="L9" s="19">
        <f>IFERROR(-L6*(1-Assumptions!$C$14),0)</f>
        <v/>
      </c>
    </row>
    <row r="10">
      <c r="B10" s="18" t="inlineStr">
        <is>
          <t>Gross Profit</t>
        </is>
      </c>
      <c r="C10" s="19">
        <f>C6+C9</f>
        <v/>
      </c>
      <c r="D10" s="19">
        <f>D6+D9</f>
        <v/>
      </c>
      <c r="E10" s="19">
        <f>E6+E9</f>
        <v/>
      </c>
      <c r="F10" s="19">
        <f>F6+F9</f>
        <v/>
      </c>
      <c r="G10" s="19">
        <f>G6+G9</f>
        <v/>
      </c>
      <c r="H10" s="19">
        <f>H6+H9</f>
        <v/>
      </c>
      <c r="I10" s="19">
        <f>I6+I9</f>
        <v/>
      </c>
      <c r="J10" s="19">
        <f>J6+J9</f>
        <v/>
      </c>
      <c r="K10" s="19">
        <f>K6+K9</f>
        <v/>
      </c>
      <c r="L10" s="19">
        <f>L6+L9</f>
        <v/>
      </c>
    </row>
    <row r="11">
      <c r="B11" s="5" t="inlineStr">
        <is>
          <t>Gross Margin %</t>
        </is>
      </c>
      <c r="C11" s="36">
        <f>IFERROR(C10/C6,0)</f>
        <v/>
      </c>
      <c r="D11" s="36">
        <f>IFERROR(D10/D6,0)</f>
        <v/>
      </c>
      <c r="E11" s="36">
        <f>IFERROR(E10/E6,0)</f>
        <v/>
      </c>
      <c r="F11" s="36">
        <f>IFERROR(F10/F6,0)</f>
        <v/>
      </c>
      <c r="G11" s="36">
        <f>IFERROR(G10/G6,0)</f>
        <v/>
      </c>
      <c r="H11" s="36">
        <f>IFERROR(H10/H6,0)</f>
        <v/>
      </c>
      <c r="I11" s="36">
        <f>IFERROR(I10/I6,0)</f>
        <v/>
      </c>
      <c r="J11" s="36">
        <f>IFERROR(J10/J6,0)</f>
        <v/>
      </c>
      <c r="K11" s="36">
        <f>IFERROR(K10/K6,0)</f>
        <v/>
      </c>
      <c r="L11" s="36">
        <f>IFERROR(L10/L6,0)</f>
        <v/>
      </c>
    </row>
    <row r="13">
      <c r="B13" s="5" t="inlineStr">
        <is>
          <t>SG&amp;A Expenses</t>
        </is>
      </c>
      <c r="C13" s="19">
        <f>IFERROR(-C6*Assumptions!$C$18,0)</f>
        <v/>
      </c>
      <c r="D13" s="19">
        <f>IFERROR(-D6*Assumptions!$C$18,0)</f>
        <v/>
      </c>
      <c r="E13" s="19">
        <f>IFERROR(-E6*Assumptions!$C$18,0)</f>
        <v/>
      </c>
      <c r="F13" s="19">
        <f>IFERROR(-F6*Assumptions!$C$18,0)</f>
        <v/>
      </c>
      <c r="G13" s="19">
        <f>IFERROR(-G6*Assumptions!$C$18,0)</f>
        <v/>
      </c>
      <c r="H13" s="19">
        <f>IFERROR(-H6*Assumptions!$C$18,0)</f>
        <v/>
      </c>
      <c r="I13" s="19">
        <f>IFERROR(-I6*Assumptions!$C$18,0)</f>
        <v/>
      </c>
      <c r="J13" s="19">
        <f>IFERROR(-J6*Assumptions!$C$18,0)</f>
        <v/>
      </c>
      <c r="K13" s="19">
        <f>IFERROR(-K6*Assumptions!$C$18,0)</f>
        <v/>
      </c>
      <c r="L13" s="19">
        <f>IFERROR(-L6*Assumptions!$C$18,0)</f>
        <v/>
      </c>
    </row>
    <row r="14">
      <c r="B14" s="5" t="inlineStr">
        <is>
          <t>Other Operating Expenses</t>
        </is>
      </c>
      <c r="C14" s="19">
        <f>-C6*0.02</f>
        <v/>
      </c>
      <c r="D14" s="19">
        <f>-D6*0.02</f>
        <v/>
      </c>
      <c r="E14" s="19">
        <f>-E6*0.02</f>
        <v/>
      </c>
      <c r="F14" s="19">
        <f>-F6*0.02</f>
        <v/>
      </c>
      <c r="G14" s="19">
        <f>-G6*0.02</f>
        <v/>
      </c>
      <c r="H14" s="19">
        <f>-H6*0.02</f>
        <v/>
      </c>
      <c r="I14" s="19">
        <f>-I6*0.02</f>
        <v/>
      </c>
      <c r="J14" s="19">
        <f>-J6*0.02</f>
        <v/>
      </c>
      <c r="K14" s="19">
        <f>-K6*0.02</f>
        <v/>
      </c>
      <c r="L14" s="19">
        <f>-L6*0.02</f>
        <v/>
      </c>
    </row>
    <row r="15">
      <c r="B15" s="18" t="inlineStr">
        <is>
          <t>EBITDA</t>
        </is>
      </c>
      <c r="C15" s="21">
        <f>C10+C13+C14</f>
        <v/>
      </c>
      <c r="D15" s="21">
        <f>D10+D13+D14</f>
        <v/>
      </c>
      <c r="E15" s="21">
        <f>E10+E13+E14</f>
        <v/>
      </c>
      <c r="F15" s="21">
        <f>F10+F13+F14</f>
        <v/>
      </c>
      <c r="G15" s="21">
        <f>G10+G13+G14</f>
        <v/>
      </c>
      <c r="H15" s="21">
        <f>H10+H13+H14</f>
        <v/>
      </c>
      <c r="I15" s="21">
        <f>I10+I13+I14</f>
        <v/>
      </c>
      <c r="J15" s="21">
        <f>J10+J13+J14</f>
        <v/>
      </c>
      <c r="K15" s="21">
        <f>K10+K13+K14</f>
        <v/>
      </c>
      <c r="L15" s="21">
        <f>L10+L13+L14</f>
        <v/>
      </c>
    </row>
    <row r="16">
      <c r="B16" s="5" t="inlineStr">
        <is>
          <t>EBITDA Margin %</t>
        </is>
      </c>
      <c r="C16" s="36">
        <f>IFERROR(C15/C6,0)</f>
        <v/>
      </c>
      <c r="D16" s="36">
        <f>IFERROR(D15/D6,0)</f>
        <v/>
      </c>
      <c r="E16" s="36">
        <f>IFERROR(E15/E6,0)</f>
        <v/>
      </c>
      <c r="F16" s="36">
        <f>IFERROR(F15/F6,0)</f>
        <v/>
      </c>
      <c r="G16" s="36">
        <f>IFERROR(G15/G6,0)</f>
        <v/>
      </c>
      <c r="H16" s="36">
        <f>IFERROR(H15/H6,0)</f>
        <v/>
      </c>
      <c r="I16" s="36">
        <f>IFERROR(I15/I6,0)</f>
        <v/>
      </c>
      <c r="J16" s="36">
        <f>IFERROR(J15/J6,0)</f>
        <v/>
      </c>
      <c r="K16" s="36">
        <f>IFERROR(K15/K6,0)</f>
        <v/>
      </c>
      <c r="L16" s="36">
        <f>IFERROR(L15/L6,0)</f>
        <v/>
      </c>
    </row>
    <row r="18">
      <c r="B18" s="5" t="inlineStr">
        <is>
          <t>Depreciation &amp; Amortization</t>
        </is>
      </c>
      <c r="C18" s="19">
        <f>IFERROR(-C6*Assumptions!$C$27,0)</f>
        <v/>
      </c>
      <c r="D18" s="19">
        <f>IFERROR(-D6*Assumptions!$C$27,0)</f>
        <v/>
      </c>
      <c r="E18" s="19">
        <f>IFERROR(-E6*Assumptions!$C$27,0)</f>
        <v/>
      </c>
      <c r="F18" s="19">
        <f>IFERROR(-F6*Assumptions!$C$27,0)</f>
        <v/>
      </c>
      <c r="G18" s="19">
        <f>IFERROR(-G6*Assumptions!$C$27,0)</f>
        <v/>
      </c>
      <c r="H18" s="19">
        <f>IFERROR(-H6*Assumptions!$C$27,0)</f>
        <v/>
      </c>
      <c r="I18" s="19">
        <f>IFERROR(-I6*Assumptions!$C$27,0)</f>
        <v/>
      </c>
      <c r="J18" s="19">
        <f>IFERROR(-J6*Assumptions!$C$27,0)</f>
        <v/>
      </c>
      <c r="K18" s="19">
        <f>IFERROR(-K6*Assumptions!$C$27,0)</f>
        <v/>
      </c>
      <c r="L18" s="19">
        <f>IFERROR(-L6*Assumptions!$C$27,0)</f>
        <v/>
      </c>
    </row>
    <row r="19">
      <c r="B19" s="18" t="inlineStr">
        <is>
          <t>EBIT</t>
        </is>
      </c>
      <c r="C19" s="19">
        <f>C15+C18</f>
        <v/>
      </c>
      <c r="D19" s="19">
        <f>D15+D18</f>
        <v/>
      </c>
      <c r="E19" s="19">
        <f>E15+E18</f>
        <v/>
      </c>
      <c r="F19" s="19">
        <f>F15+F18</f>
        <v/>
      </c>
      <c r="G19" s="19">
        <f>G15+G18</f>
        <v/>
      </c>
      <c r="H19" s="19">
        <f>H15+H18</f>
        <v/>
      </c>
      <c r="I19" s="19">
        <f>I15+I18</f>
        <v/>
      </c>
      <c r="J19" s="19">
        <f>J15+J18</f>
        <v/>
      </c>
      <c r="K19" s="19">
        <f>K15+K18</f>
        <v/>
      </c>
      <c r="L19" s="19">
        <f>L15+L18</f>
        <v/>
      </c>
    </row>
    <row r="20">
      <c r="B20" s="5" t="inlineStr">
        <is>
          <t>EBIT Margin %</t>
        </is>
      </c>
      <c r="C20" s="36">
        <f>IFERROR(C19/C6,0)</f>
        <v/>
      </c>
      <c r="D20" s="36">
        <f>IFERROR(D19/D6,0)</f>
        <v/>
      </c>
      <c r="E20" s="36">
        <f>IFERROR(E19/E6,0)</f>
        <v/>
      </c>
      <c r="F20" s="36">
        <f>IFERROR(F19/F6,0)</f>
        <v/>
      </c>
      <c r="G20" s="36">
        <f>IFERROR(G19/G6,0)</f>
        <v/>
      </c>
      <c r="H20" s="36">
        <f>IFERROR(H19/H6,0)</f>
        <v/>
      </c>
      <c r="I20" s="36">
        <f>IFERROR(I19/I6,0)</f>
        <v/>
      </c>
      <c r="J20" s="36">
        <f>IFERROR(J19/J6,0)</f>
        <v/>
      </c>
      <c r="K20" s="36">
        <f>IFERROR(K19/K6,0)</f>
        <v/>
      </c>
      <c r="L20" s="36">
        <f>IFERROR(L19/L6,0)</f>
        <v/>
      </c>
    </row>
    <row r="22">
      <c r="B22" s="5" t="inlineStr">
        <is>
          <t>Interest Expense</t>
        </is>
      </c>
      <c r="C22" s="19">
        <f>-C6*0.02</f>
        <v/>
      </c>
      <c r="D22" s="19">
        <f>-D6*0.02</f>
        <v/>
      </c>
      <c r="E22" s="19">
        <f>-E6*0.02</f>
        <v/>
      </c>
      <c r="F22" s="19">
        <f>-F6*0.02</f>
        <v/>
      </c>
      <c r="G22" s="19">
        <f>-G6*0.02</f>
        <v/>
      </c>
      <c r="H22" s="19">
        <f>-H6*0.02</f>
        <v/>
      </c>
      <c r="I22" s="19">
        <f>-I6*0.02</f>
        <v/>
      </c>
      <c r="J22" s="19">
        <f>-J6*0.02</f>
        <v/>
      </c>
      <c r="K22" s="19">
        <f>-K6*0.02</f>
        <v/>
      </c>
      <c r="L22" s="19">
        <f>-L6*0.02</f>
        <v/>
      </c>
    </row>
    <row r="23">
      <c r="B23" s="18" t="inlineStr">
        <is>
          <t>Pre-tax Income</t>
        </is>
      </c>
      <c r="C23" s="19">
        <f>C19+C22</f>
        <v/>
      </c>
      <c r="D23" s="19">
        <f>D19+D22</f>
        <v/>
      </c>
      <c r="E23" s="19">
        <f>E19+E22</f>
        <v/>
      </c>
      <c r="F23" s="19">
        <f>F19+F22</f>
        <v/>
      </c>
      <c r="G23" s="19">
        <f>G19+G22</f>
        <v/>
      </c>
      <c r="H23" s="19">
        <f>H19+H22</f>
        <v/>
      </c>
      <c r="I23" s="19">
        <f>I19+I22</f>
        <v/>
      </c>
      <c r="J23" s="19">
        <f>J19+J22</f>
        <v/>
      </c>
      <c r="K23" s="19">
        <f>K19+K22</f>
        <v/>
      </c>
      <c r="L23" s="19">
        <f>L19+L22</f>
        <v/>
      </c>
    </row>
    <row r="25">
      <c r="B25" s="5" t="inlineStr">
        <is>
          <t>Tax Expense</t>
        </is>
      </c>
      <c r="C25" s="19">
        <f>IFERROR(-MAX(C23,0)*Assumptions!$C$39,0)</f>
        <v/>
      </c>
      <c r="D25" s="19">
        <f>IFERROR(-MAX(D23,0)*Assumptions!$C$39,0)</f>
        <v/>
      </c>
      <c r="E25" s="19">
        <f>IFERROR(-MAX(E23,0)*Assumptions!$C$39,0)</f>
        <v/>
      </c>
      <c r="F25" s="19">
        <f>IFERROR(-MAX(F23,0)*Assumptions!$C$39,0)</f>
        <v/>
      </c>
      <c r="G25" s="19">
        <f>IFERROR(-MAX(G23,0)*Assumptions!$C$39,0)</f>
        <v/>
      </c>
      <c r="H25" s="19">
        <f>IFERROR(-MAX(H23,0)*Assumptions!$C$39,0)</f>
        <v/>
      </c>
      <c r="I25" s="19">
        <f>IFERROR(-MAX(I23,0)*Assumptions!$C$39,0)</f>
        <v/>
      </c>
      <c r="J25" s="19">
        <f>IFERROR(-MAX(J23,0)*Assumptions!$C$39,0)</f>
        <v/>
      </c>
      <c r="K25" s="19">
        <f>IFERROR(-MAX(K23,0)*Assumptions!$C$39,0)</f>
        <v/>
      </c>
      <c r="L25" s="19">
        <f>IFERROR(-MAX(L23,0)*Assumptions!$C$39,0)</f>
        <v/>
      </c>
    </row>
    <row r="26">
      <c r="B26" s="18" t="inlineStr">
        <is>
          <t>Net Income</t>
        </is>
      </c>
      <c r="C26" s="21">
        <f>C23+C25</f>
        <v/>
      </c>
      <c r="D26" s="21">
        <f>D23+D25</f>
        <v/>
      </c>
      <c r="E26" s="21">
        <f>E23+E25</f>
        <v/>
      </c>
      <c r="F26" s="21">
        <f>F23+F25</f>
        <v/>
      </c>
      <c r="G26" s="21">
        <f>G23+G25</f>
        <v/>
      </c>
      <c r="H26" s="21">
        <f>H23+H25</f>
        <v/>
      </c>
      <c r="I26" s="21">
        <f>I23+I25</f>
        <v/>
      </c>
      <c r="J26" s="21">
        <f>J23+J25</f>
        <v/>
      </c>
      <c r="K26" s="21">
        <f>K23+K25</f>
        <v/>
      </c>
      <c r="L26" s="21">
        <f>L23+L25</f>
        <v/>
      </c>
    </row>
    <row r="27">
      <c r="B27" s="5" t="inlineStr">
        <is>
          <t>Net Margin %</t>
        </is>
      </c>
      <c r="C27" s="36">
        <f>IFERROR(C26/C6,0)</f>
        <v/>
      </c>
      <c r="D27" s="36">
        <f>IFERROR(D26/D6,0)</f>
        <v/>
      </c>
      <c r="E27" s="36">
        <f>IFERROR(E26/E6,0)</f>
        <v/>
      </c>
      <c r="F27" s="36">
        <f>IFERROR(F26/F6,0)</f>
        <v/>
      </c>
      <c r="G27" s="36">
        <f>IFERROR(G26/G6,0)</f>
        <v/>
      </c>
      <c r="H27" s="36">
        <f>IFERROR(H26/H6,0)</f>
        <v/>
      </c>
      <c r="I27" s="36">
        <f>IFERROR(I26/I6,0)</f>
        <v/>
      </c>
      <c r="J27" s="36">
        <f>IFERROR(J26/J6,0)</f>
        <v/>
      </c>
      <c r="K27" s="36">
        <f>IFERROR(K26/K6,0)</f>
        <v/>
      </c>
      <c r="L27" s="36">
        <f>IFERROR(L26/L6,0)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L35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</cols>
  <sheetData>
    <row r="2">
      <c r="B2" s="1" t="inlineStr">
        <is>
          <t>Balance Sheet (₹ Crores)</t>
        </is>
      </c>
    </row>
    <row r="4">
      <c r="C4" s="17" t="inlineStr">
        <is>
          <t>FY2021</t>
        </is>
      </c>
      <c r="D4" s="17" t="inlineStr">
        <is>
          <t>FY2022</t>
        </is>
      </c>
      <c r="E4" s="17" t="inlineStr">
        <is>
          <t>FY2023</t>
        </is>
      </c>
      <c r="F4" s="17" t="inlineStr">
        <is>
          <t>FY2024</t>
        </is>
      </c>
      <c r="G4" s="17" t="inlineStr">
        <is>
          <t>FY2025</t>
        </is>
      </c>
      <c r="H4" s="17" t="inlineStr">
        <is>
          <t>FY2026E</t>
        </is>
      </c>
      <c r="I4" s="17" t="inlineStr">
        <is>
          <t>FY2027E</t>
        </is>
      </c>
      <c r="J4" s="17" t="inlineStr">
        <is>
          <t>FY2028E</t>
        </is>
      </c>
      <c r="K4" s="17" t="inlineStr">
        <is>
          <t>FY2029E</t>
        </is>
      </c>
      <c r="L4" s="17" t="inlineStr">
        <is>
          <t>FY2030E</t>
        </is>
      </c>
    </row>
    <row r="6">
      <c r="B6" s="4" t="inlineStr">
        <is>
          <t>ASSETS</t>
        </is>
      </c>
    </row>
    <row r="7">
      <c r="B7" s="5" t="inlineStr">
        <is>
          <t>Cash &amp; Equivalents</t>
        </is>
      </c>
      <c r="C7" s="19" t="n">
        <v>1250</v>
      </c>
      <c r="D7" s="19">
        <f>C7+Cash_Flow!D28</f>
        <v/>
      </c>
      <c r="E7" s="19">
        <f>D7+Cash_Flow!E28</f>
        <v/>
      </c>
      <c r="F7" s="19">
        <f>E7+Cash_Flow!F28</f>
        <v/>
      </c>
      <c r="G7" s="19">
        <f>F7+Cash_Flow!G28</f>
        <v/>
      </c>
      <c r="H7" s="19">
        <f>G7+Cash_Flow!H28</f>
        <v/>
      </c>
      <c r="I7" s="19">
        <f>H7+Cash_Flow!I28</f>
        <v/>
      </c>
      <c r="J7" s="19">
        <f>I7+Cash_Flow!J28</f>
        <v/>
      </c>
      <c r="K7" s="19">
        <f>J7+Cash_Flow!K28</f>
        <v/>
      </c>
      <c r="L7" s="19">
        <f>K7+Cash_Flow!L28</f>
        <v/>
      </c>
    </row>
    <row r="8">
      <c r="B8" s="5" t="inlineStr">
        <is>
          <t>Trade Receivables</t>
        </is>
      </c>
      <c r="C8" s="19">
        <f>IFERROR(Income_Statement!C6*Assumptions!$C$21/365,0)</f>
        <v/>
      </c>
      <c r="D8" s="19">
        <f>IFERROR(Income_Statement!D6*Assumptions!$C$21/365,0)</f>
        <v/>
      </c>
      <c r="E8" s="19">
        <f>IFERROR(Income_Statement!E6*Assumptions!$C$21/365,0)</f>
        <v/>
      </c>
      <c r="F8" s="19">
        <f>IFERROR(Income_Statement!F6*Assumptions!$C$21/365,0)</f>
        <v/>
      </c>
      <c r="G8" s="19">
        <f>IFERROR(Income_Statement!G6*Assumptions!$C$21/365,0)</f>
        <v/>
      </c>
      <c r="H8" s="19">
        <f>IFERROR(Income_Statement!H6*Assumptions!$C$21/365,0)</f>
        <v/>
      </c>
      <c r="I8" s="19">
        <f>IFERROR(Income_Statement!I6*Assumptions!$C$21/365,0)</f>
        <v/>
      </c>
      <c r="J8" s="19">
        <f>IFERROR(Income_Statement!J6*Assumptions!$C$21/365,0)</f>
        <v/>
      </c>
      <c r="K8" s="19">
        <f>IFERROR(Income_Statement!K6*Assumptions!$C$21/365,0)</f>
        <v/>
      </c>
      <c r="L8" s="19">
        <f>IFERROR(Income_Statement!L6*Assumptions!$C$21/365,0)</f>
        <v/>
      </c>
    </row>
    <row r="9">
      <c r="B9" s="5" t="inlineStr">
        <is>
          <t>Inventory</t>
        </is>
      </c>
      <c r="C9" s="19">
        <f>IFERROR(ABS(Income_Statement!C9)*Assumptions!$C$22/365,0)</f>
        <v/>
      </c>
      <c r="D9" s="19">
        <f>IFERROR(ABS(Income_Statement!D9)*Assumptions!$C$22/365,0)</f>
        <v/>
      </c>
      <c r="E9" s="19">
        <f>IFERROR(ABS(Income_Statement!E9)*Assumptions!$C$22/365,0)</f>
        <v/>
      </c>
      <c r="F9" s="19">
        <f>IFERROR(ABS(Income_Statement!F9)*Assumptions!$C$22/365,0)</f>
        <v/>
      </c>
      <c r="G9" s="19">
        <f>IFERROR(ABS(Income_Statement!G9)*Assumptions!$C$22/365,0)</f>
        <v/>
      </c>
      <c r="H9" s="19">
        <f>IFERROR(ABS(Income_Statement!H9)*Assumptions!$C$22/365,0)</f>
        <v/>
      </c>
      <c r="I9" s="19">
        <f>IFERROR(ABS(Income_Statement!I9)*Assumptions!$C$22/365,0)</f>
        <v/>
      </c>
      <c r="J9" s="19">
        <f>IFERROR(ABS(Income_Statement!J9)*Assumptions!$C$22/365,0)</f>
        <v/>
      </c>
      <c r="K9" s="19">
        <f>IFERROR(ABS(Income_Statement!K9)*Assumptions!$C$22/365,0)</f>
        <v/>
      </c>
      <c r="L9" s="19">
        <f>IFERROR(ABS(Income_Statement!L9)*Assumptions!$C$22/365,0)</f>
        <v/>
      </c>
    </row>
    <row r="10">
      <c r="B10" s="5" t="inlineStr">
        <is>
          <t>Other Current Assets</t>
        </is>
      </c>
      <c r="C10" s="19" t="n">
        <v>625</v>
      </c>
      <c r="D10" s="19">
        <f>C10*1.02</f>
        <v/>
      </c>
      <c r="E10" s="19">
        <f>D10*1.02</f>
        <v/>
      </c>
      <c r="F10" s="19">
        <f>E10*1.02</f>
        <v/>
      </c>
      <c r="G10" s="19">
        <f>F10*1.02</f>
        <v/>
      </c>
      <c r="H10" s="19">
        <f>G10*1.02</f>
        <v/>
      </c>
      <c r="I10" s="19">
        <f>H10*1.02</f>
        <v/>
      </c>
      <c r="J10" s="19">
        <f>I10*1.02</f>
        <v/>
      </c>
      <c r="K10" s="19">
        <f>J10*1.02</f>
        <v/>
      </c>
      <c r="L10" s="19">
        <f>K10*1.02</f>
        <v/>
      </c>
    </row>
    <row r="11">
      <c r="B11" s="18" t="inlineStr">
        <is>
          <t>Total Current Assets</t>
        </is>
      </c>
      <c r="C11" s="19">
        <f>SUM(C7:C10)</f>
        <v/>
      </c>
      <c r="D11" s="19">
        <f>SUM(D7:D10)</f>
        <v/>
      </c>
      <c r="E11" s="19">
        <f>SUM(E7:E10)</f>
        <v/>
      </c>
      <c r="F11" s="19">
        <f>SUM(F7:F10)</f>
        <v/>
      </c>
      <c r="G11" s="19">
        <f>SUM(G7:G10)</f>
        <v/>
      </c>
      <c r="H11" s="19">
        <f>SUM(H7:H10)</f>
        <v/>
      </c>
      <c r="I11" s="19">
        <f>SUM(I7:I10)</f>
        <v/>
      </c>
      <c r="J11" s="19">
        <f>SUM(J7:J10)</f>
        <v/>
      </c>
      <c r="K11" s="19">
        <f>SUM(K7:K10)</f>
        <v/>
      </c>
      <c r="L11" s="19">
        <f>SUM(L7:L10)</f>
        <v/>
      </c>
    </row>
    <row r="13">
      <c r="B13" s="5" t="inlineStr">
        <is>
          <t>Gross PP&amp;E</t>
        </is>
      </c>
      <c r="C13" s="19" t="n">
        <v>7500</v>
      </c>
      <c r="D13" s="19">
        <f>IFERROR(C13+Income_Statement!D6*Assumptions!$C$26,C13)</f>
        <v/>
      </c>
      <c r="E13" s="19">
        <f>IFERROR(D13+Income_Statement!E6*Assumptions!$C$26,D13)</f>
        <v/>
      </c>
      <c r="F13" s="19">
        <f>IFERROR(E13+Income_Statement!F6*Assumptions!$C$26,E13)</f>
        <v/>
      </c>
      <c r="G13" s="19">
        <f>IFERROR(F13+Income_Statement!G6*Assumptions!$C$26,F13)</f>
        <v/>
      </c>
      <c r="H13" s="19">
        <f>IFERROR(G13+Income_Statement!H6*Assumptions!$C$26,G13)</f>
        <v/>
      </c>
      <c r="I13" s="19">
        <f>IFERROR(H13+Income_Statement!I6*Assumptions!$C$26,H13)</f>
        <v/>
      </c>
      <c r="J13" s="19">
        <f>IFERROR(I13+Income_Statement!J6*Assumptions!$C$26,I13)</f>
        <v/>
      </c>
      <c r="K13" s="19">
        <f>IFERROR(J13+Income_Statement!K6*Assumptions!$C$26,J13)</f>
        <v/>
      </c>
      <c r="L13" s="19">
        <f>IFERROR(K13+Income_Statement!L6*Assumptions!$C$26,K13)</f>
        <v/>
      </c>
    </row>
    <row r="14">
      <c r="B14" s="5" t="inlineStr">
        <is>
          <t>Accumulated Depreciation</t>
        </is>
      </c>
      <c r="C14" s="19" t="n">
        <v>-2500</v>
      </c>
      <c r="D14" s="19">
        <f>C14+Income_Statement!D18</f>
        <v/>
      </c>
      <c r="E14" s="19">
        <f>D14+Income_Statement!E18</f>
        <v/>
      </c>
      <c r="F14" s="19">
        <f>E14+Income_Statement!F18</f>
        <v/>
      </c>
      <c r="G14" s="19">
        <f>F14+Income_Statement!G18</f>
        <v/>
      </c>
      <c r="H14" s="19">
        <f>G14+Income_Statement!H18</f>
        <v/>
      </c>
      <c r="I14" s="19">
        <f>H14+Income_Statement!I18</f>
        <v/>
      </c>
      <c r="J14" s="19">
        <f>I14+Income_Statement!J18</f>
        <v/>
      </c>
      <c r="K14" s="19">
        <f>J14+Income_Statement!K18</f>
        <v/>
      </c>
      <c r="L14" s="19">
        <f>K14+Income_Statement!L18</f>
        <v/>
      </c>
    </row>
    <row r="15">
      <c r="B15" s="18" t="inlineStr">
        <is>
          <t>Net PP&amp;E</t>
        </is>
      </c>
      <c r="C15" s="19">
        <f>C13+C14</f>
        <v/>
      </c>
      <c r="D15" s="19">
        <f>D13+D14</f>
        <v/>
      </c>
      <c r="E15" s="19">
        <f>E13+E14</f>
        <v/>
      </c>
      <c r="F15" s="19">
        <f>F13+F14</f>
        <v/>
      </c>
      <c r="G15" s="19">
        <f>G13+G14</f>
        <v/>
      </c>
      <c r="H15" s="19">
        <f>H13+H14</f>
        <v/>
      </c>
      <c r="I15" s="19">
        <f>I13+I14</f>
        <v/>
      </c>
      <c r="J15" s="19">
        <f>J13+J14</f>
        <v/>
      </c>
      <c r="K15" s="19">
        <f>K13+K14</f>
        <v/>
      </c>
      <c r="L15" s="19">
        <f>L13+L14</f>
        <v/>
      </c>
    </row>
    <row r="16">
      <c r="B16" s="5" t="inlineStr">
        <is>
          <t>Other Non-Current Assets</t>
        </is>
      </c>
      <c r="C16" s="19" t="n">
        <v>1250</v>
      </c>
      <c r="D16" s="19">
        <f>C16*1.01</f>
        <v/>
      </c>
      <c r="E16" s="19">
        <f>D16*1.01</f>
        <v/>
      </c>
      <c r="F16" s="19">
        <f>E16*1.01</f>
        <v/>
      </c>
      <c r="G16" s="19">
        <f>F16*1.01</f>
        <v/>
      </c>
      <c r="H16" s="19">
        <f>G16*1.01</f>
        <v/>
      </c>
      <c r="I16" s="19">
        <f>H16*1.01</f>
        <v/>
      </c>
      <c r="J16" s="19">
        <f>I16*1.01</f>
        <v/>
      </c>
      <c r="K16" s="19">
        <f>J16*1.01</f>
        <v/>
      </c>
      <c r="L16" s="19">
        <f>K16*1.01</f>
        <v/>
      </c>
    </row>
    <row r="17">
      <c r="B17" s="18" t="inlineStr">
        <is>
          <t>Total Assets</t>
        </is>
      </c>
      <c r="C17" s="21">
        <f>C11+C15+C16</f>
        <v/>
      </c>
      <c r="D17" s="21">
        <f>D11+D15+D16</f>
        <v/>
      </c>
      <c r="E17" s="21">
        <f>E11+E15+E16</f>
        <v/>
      </c>
      <c r="F17" s="21">
        <f>F11+F15+F16</f>
        <v/>
      </c>
      <c r="G17" s="21">
        <f>G11+G15+G16</f>
        <v/>
      </c>
      <c r="H17" s="21">
        <f>H11+H15+H16</f>
        <v/>
      </c>
      <c r="I17" s="21">
        <f>I11+I15+I16</f>
        <v/>
      </c>
      <c r="J17" s="21">
        <f>J11+J15+J16</f>
        <v/>
      </c>
      <c r="K17" s="21">
        <f>K11+K15+K16</f>
        <v/>
      </c>
      <c r="L17" s="21">
        <f>L11+L15+L16</f>
        <v/>
      </c>
    </row>
    <row r="19">
      <c r="B19" s="4" t="inlineStr">
        <is>
          <t>LIABILITIES</t>
        </is>
      </c>
    </row>
    <row r="20">
      <c r="B20" s="5" t="inlineStr">
        <is>
          <t>Trade Payables</t>
        </is>
      </c>
      <c r="C20" s="19">
        <f>IFERROR(ABS(Income_Statement!C9)*Assumptions!$C$23/365,0)</f>
        <v/>
      </c>
      <c r="D20" s="19">
        <f>IFERROR(ABS(Income_Statement!D9)*Assumptions!$C$23/365,0)</f>
        <v/>
      </c>
      <c r="E20" s="19">
        <f>IFERROR(ABS(Income_Statement!E9)*Assumptions!$C$23/365,0)</f>
        <v/>
      </c>
      <c r="F20" s="19">
        <f>IFERROR(ABS(Income_Statement!F9)*Assumptions!$C$23/365,0)</f>
        <v/>
      </c>
      <c r="G20" s="19">
        <f>IFERROR(ABS(Income_Statement!G9)*Assumptions!$C$23/365,0)</f>
        <v/>
      </c>
      <c r="H20" s="19">
        <f>IFERROR(ABS(Income_Statement!H9)*Assumptions!$C$23/365,0)</f>
        <v/>
      </c>
      <c r="I20" s="19">
        <f>IFERROR(ABS(Income_Statement!I9)*Assumptions!$C$23/365,0)</f>
        <v/>
      </c>
      <c r="J20" s="19">
        <f>IFERROR(ABS(Income_Statement!J9)*Assumptions!$C$23/365,0)</f>
        <v/>
      </c>
      <c r="K20" s="19">
        <f>IFERROR(ABS(Income_Statement!K9)*Assumptions!$C$23/365,0)</f>
        <v/>
      </c>
      <c r="L20" s="19">
        <f>IFERROR(ABS(Income_Statement!L9)*Assumptions!$C$23/365,0)</f>
        <v/>
      </c>
    </row>
    <row r="21">
      <c r="B21" s="5" t="inlineStr">
        <is>
          <t>Accrued Expenses</t>
        </is>
      </c>
      <c r="C21" s="19" t="n">
        <v>375</v>
      </c>
      <c r="D21" s="19">
        <f>C21*1.02</f>
        <v/>
      </c>
      <c r="E21" s="19">
        <f>D21*1.02</f>
        <v/>
      </c>
      <c r="F21" s="19">
        <f>E21*1.02</f>
        <v/>
      </c>
      <c r="G21" s="19">
        <f>F21*1.02</f>
        <v/>
      </c>
      <c r="H21" s="19">
        <f>G21*1.02</f>
        <v/>
      </c>
      <c r="I21" s="19">
        <f>H21*1.02</f>
        <v/>
      </c>
      <c r="J21" s="19">
        <f>I21*1.02</f>
        <v/>
      </c>
      <c r="K21" s="19">
        <f>J21*1.02</f>
        <v/>
      </c>
      <c r="L21" s="19">
        <f>K21*1.02</f>
        <v/>
      </c>
    </row>
    <row r="22">
      <c r="B22" s="5" t="inlineStr">
        <is>
          <t>Short-term Debt</t>
        </is>
      </c>
      <c r="C22" s="19" t="n">
        <v>625</v>
      </c>
      <c r="D22" s="19">
        <f>C22</f>
        <v/>
      </c>
      <c r="E22" s="19">
        <f>D22</f>
        <v/>
      </c>
      <c r="F22" s="19">
        <f>E22</f>
        <v/>
      </c>
      <c r="G22" s="19">
        <f>F22</f>
        <v/>
      </c>
      <c r="H22" s="19">
        <f>G22</f>
        <v/>
      </c>
      <c r="I22" s="19">
        <f>H22</f>
        <v/>
      </c>
      <c r="J22" s="19">
        <f>I22</f>
        <v/>
      </c>
      <c r="K22" s="19">
        <f>J22</f>
        <v/>
      </c>
      <c r="L22" s="19">
        <f>K22</f>
        <v/>
      </c>
    </row>
    <row r="23">
      <c r="B23" s="18" t="inlineStr">
        <is>
          <t>Total Current Liabilities</t>
        </is>
      </c>
      <c r="C23" s="19">
        <f>C20+C21+C22</f>
        <v/>
      </c>
      <c r="D23" s="19">
        <f>D20+D21+D22</f>
        <v/>
      </c>
      <c r="E23" s="19">
        <f>E20+E21+E22</f>
        <v/>
      </c>
      <c r="F23" s="19">
        <f>F20+F21+F22</f>
        <v/>
      </c>
      <c r="G23" s="19">
        <f>G20+G21+G22</f>
        <v/>
      </c>
      <c r="H23" s="19">
        <f>H20+H21+H22</f>
        <v/>
      </c>
      <c r="I23" s="19">
        <f>I20+I21+I22</f>
        <v/>
      </c>
      <c r="J23" s="19">
        <f>J20+J21+J22</f>
        <v/>
      </c>
      <c r="K23" s="19">
        <f>K20+K21+K22</f>
        <v/>
      </c>
      <c r="L23" s="19">
        <f>L20+L21+L22</f>
        <v/>
      </c>
    </row>
    <row r="25">
      <c r="B25" s="5" t="inlineStr">
        <is>
          <t>Long-term Debt</t>
        </is>
      </c>
      <c r="C25" s="19" t="n">
        <v>3125</v>
      </c>
      <c r="D25" s="19">
        <f>C25</f>
        <v/>
      </c>
      <c r="E25" s="19">
        <f>D25</f>
        <v/>
      </c>
      <c r="F25" s="19">
        <f>E25</f>
        <v/>
      </c>
      <c r="G25" s="19">
        <f>F25</f>
        <v/>
      </c>
      <c r="H25" s="19">
        <f>G25</f>
        <v/>
      </c>
      <c r="I25" s="19">
        <f>H25</f>
        <v/>
      </c>
      <c r="J25" s="19">
        <f>I25</f>
        <v/>
      </c>
      <c r="K25" s="19">
        <f>J25</f>
        <v/>
      </c>
      <c r="L25" s="19">
        <f>K25</f>
        <v/>
      </c>
    </row>
    <row r="26">
      <c r="B26" s="5" t="inlineStr">
        <is>
          <t>Other Non-Current Liabilities</t>
        </is>
      </c>
      <c r="C26" s="19" t="n">
        <v>250</v>
      </c>
      <c r="D26" s="19">
        <f>C26*1.01</f>
        <v/>
      </c>
      <c r="E26" s="19">
        <f>D26*1.01</f>
        <v/>
      </c>
      <c r="F26" s="19">
        <f>E26*1.01</f>
        <v/>
      </c>
      <c r="G26" s="19">
        <f>F26*1.01</f>
        <v/>
      </c>
      <c r="H26" s="19">
        <f>G26*1.01</f>
        <v/>
      </c>
      <c r="I26" s="19">
        <f>H26*1.01</f>
        <v/>
      </c>
      <c r="J26" s="19">
        <f>I26*1.01</f>
        <v/>
      </c>
      <c r="K26" s="19">
        <f>J26*1.01</f>
        <v/>
      </c>
      <c r="L26" s="19">
        <f>K26*1.01</f>
        <v/>
      </c>
    </row>
    <row r="27">
      <c r="B27" s="18" t="inlineStr">
        <is>
          <t>Total Liabilities</t>
        </is>
      </c>
      <c r="C27" s="19">
        <f>C23+C25+C26</f>
        <v/>
      </c>
      <c r="D27" s="19">
        <f>D23+D25+D26</f>
        <v/>
      </c>
      <c r="E27" s="19">
        <f>E23+E25+E26</f>
        <v/>
      </c>
      <c r="F27" s="19">
        <f>F23+F25+F26</f>
        <v/>
      </c>
      <c r="G27" s="19">
        <f>G23+G25+G26</f>
        <v/>
      </c>
      <c r="H27" s="19">
        <f>H23+H25+H26</f>
        <v/>
      </c>
      <c r="I27" s="19">
        <f>I23+I25+I26</f>
        <v/>
      </c>
      <c r="J27" s="19">
        <f>J23+J25+J26</f>
        <v/>
      </c>
      <c r="K27" s="19">
        <f>K23+K25+K26</f>
        <v/>
      </c>
      <c r="L27" s="19">
        <f>L23+L25+L26</f>
        <v/>
      </c>
    </row>
    <row r="29">
      <c r="B29" s="4" t="inlineStr">
        <is>
          <t>EQUITY</t>
        </is>
      </c>
    </row>
    <row r="30">
      <c r="B30" s="5" t="inlineStr">
        <is>
          <t>Share Capital</t>
        </is>
      </c>
      <c r="C30" s="19" t="n">
        <v>2500</v>
      </c>
      <c r="D30" s="19">
        <f>C30</f>
        <v/>
      </c>
      <c r="E30" s="19">
        <f>D30</f>
        <v/>
      </c>
      <c r="F30" s="19">
        <f>E30</f>
        <v/>
      </c>
      <c r="G30" s="19">
        <f>F30</f>
        <v/>
      </c>
      <c r="H30" s="19">
        <f>G30</f>
        <v/>
      </c>
      <c r="I30" s="19">
        <f>H30</f>
        <v/>
      </c>
      <c r="J30" s="19">
        <f>I30</f>
        <v/>
      </c>
      <c r="K30" s="19">
        <f>J30</f>
        <v/>
      </c>
      <c r="L30" s="19">
        <f>K30</f>
        <v/>
      </c>
    </row>
    <row r="31">
      <c r="B31" s="5" t="inlineStr">
        <is>
          <t>Retained Earnings</t>
        </is>
      </c>
      <c r="C31" s="19" t="n">
        <v>5625</v>
      </c>
      <c r="D31" s="19">
        <f>C31+Income_Statement!D26-Income_Statement!D26*0.2</f>
        <v/>
      </c>
      <c r="E31" s="19">
        <f>D31+Income_Statement!E26-Income_Statement!E26*0.2</f>
        <v/>
      </c>
      <c r="F31" s="19">
        <f>E31+Income_Statement!F26-Income_Statement!F26*0.2</f>
        <v/>
      </c>
      <c r="G31" s="19">
        <f>F31+Income_Statement!G26-Income_Statement!G26*0.2</f>
        <v/>
      </c>
      <c r="H31" s="19">
        <f>G31+Income_Statement!H26-Income_Statement!H26*0.2</f>
        <v/>
      </c>
      <c r="I31" s="19">
        <f>H31+Income_Statement!I26-Income_Statement!I26*0.2</f>
        <v/>
      </c>
      <c r="J31" s="19">
        <f>I31+Income_Statement!J26-Income_Statement!J26*0.2</f>
        <v/>
      </c>
      <c r="K31" s="19">
        <f>J31+Income_Statement!K26-Income_Statement!K26*0.2</f>
        <v/>
      </c>
      <c r="L31" s="19">
        <f>K31+Income_Statement!L26-Income_Statement!L26*0.2</f>
        <v/>
      </c>
    </row>
    <row r="32">
      <c r="B32" s="18" t="inlineStr">
        <is>
          <t>Total Equity</t>
        </is>
      </c>
      <c r="C32" s="19">
        <f>C30+C31</f>
        <v/>
      </c>
      <c r="D32" s="19">
        <f>D30+D31</f>
        <v/>
      </c>
      <c r="E32" s="19">
        <f>E30+E31</f>
        <v/>
      </c>
      <c r="F32" s="19">
        <f>F30+F31</f>
        <v/>
      </c>
      <c r="G32" s="19">
        <f>G30+G31</f>
        <v/>
      </c>
      <c r="H32" s="19">
        <f>H30+H31</f>
        <v/>
      </c>
      <c r="I32" s="19">
        <f>I30+I31</f>
        <v/>
      </c>
      <c r="J32" s="19">
        <f>J30+J31</f>
        <v/>
      </c>
      <c r="K32" s="19">
        <f>K30+K31</f>
        <v/>
      </c>
      <c r="L32" s="19">
        <f>L30+L31</f>
        <v/>
      </c>
    </row>
    <row r="34">
      <c r="B34" s="18" t="inlineStr">
        <is>
          <t>Total Liabilities &amp; Equity</t>
        </is>
      </c>
      <c r="C34" s="21">
        <f>C27+C32</f>
        <v/>
      </c>
      <c r="D34" s="21">
        <f>D27+D32</f>
        <v/>
      </c>
      <c r="E34" s="21">
        <f>E27+E32</f>
        <v/>
      </c>
      <c r="F34" s="21">
        <f>F27+F32</f>
        <v/>
      </c>
      <c r="G34" s="21">
        <f>G27+G32</f>
        <v/>
      </c>
      <c r="H34" s="21">
        <f>H27+H32</f>
        <v/>
      </c>
      <c r="I34" s="21">
        <f>I27+I32</f>
        <v/>
      </c>
      <c r="J34" s="21">
        <f>J27+J32</f>
        <v/>
      </c>
      <c r="K34" s="21">
        <f>K27+K32</f>
        <v/>
      </c>
      <c r="L34" s="21">
        <f>L27+L32</f>
        <v/>
      </c>
    </row>
    <row r="35">
      <c r="B35" s="5" t="inlineStr">
        <is>
          <t>Balance Check (should be 0)</t>
        </is>
      </c>
      <c r="C35" s="21">
        <f>ROUND(C17-C34,0)</f>
        <v/>
      </c>
      <c r="D35" s="21">
        <f>ROUND(D17-D34,0)</f>
        <v/>
      </c>
      <c r="E35" s="21">
        <f>ROUND(E17-E34,0)</f>
        <v/>
      </c>
      <c r="F35" s="21">
        <f>ROUND(F17-F34,0)</f>
        <v/>
      </c>
      <c r="G35" s="21">
        <f>ROUND(G17-G34,0)</f>
        <v/>
      </c>
      <c r="H35" s="21">
        <f>ROUND(H17-H34,0)</f>
        <v/>
      </c>
      <c r="I35" s="21">
        <f>ROUND(I17-I34,0)</f>
        <v/>
      </c>
      <c r="J35" s="21">
        <f>ROUND(J17-J34,0)</f>
        <v/>
      </c>
      <c r="K35" s="21">
        <f>ROUND(K17-K34,0)</f>
        <v/>
      </c>
      <c r="L35" s="21">
        <f>ROUND(L17-L34,0)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2:L27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</cols>
  <sheetData>
    <row r="2">
      <c r="B2" s="1" t="inlineStr">
        <is>
          <t>Cash Flow Statement (₹ Crores)</t>
        </is>
      </c>
    </row>
    <row r="4">
      <c r="C4" s="17" t="inlineStr">
        <is>
          <t>FY2021</t>
        </is>
      </c>
      <c r="D4" s="17" t="inlineStr">
        <is>
          <t>FY2022</t>
        </is>
      </c>
      <c r="E4" s="17" t="inlineStr">
        <is>
          <t>FY2023</t>
        </is>
      </c>
      <c r="F4" s="17" t="inlineStr">
        <is>
          <t>FY2024</t>
        </is>
      </c>
      <c r="G4" s="17" t="inlineStr">
        <is>
          <t>FY2025</t>
        </is>
      </c>
      <c r="H4" s="17" t="inlineStr">
        <is>
          <t>FY2026E</t>
        </is>
      </c>
      <c r="I4" s="17" t="inlineStr">
        <is>
          <t>FY2027E</t>
        </is>
      </c>
      <c r="J4" s="17" t="inlineStr">
        <is>
          <t>FY2028E</t>
        </is>
      </c>
      <c r="K4" s="17" t="inlineStr">
        <is>
          <t>FY2029E</t>
        </is>
      </c>
      <c r="L4" s="17" t="inlineStr">
        <is>
          <t>FY2030E</t>
        </is>
      </c>
    </row>
    <row r="6">
      <c r="B6" s="4" t="inlineStr">
        <is>
          <t>OPERATING ACTIVITIES</t>
        </is>
      </c>
    </row>
    <row r="7">
      <c r="B7" s="5" t="inlineStr">
        <is>
          <t>Net Income</t>
        </is>
      </c>
      <c r="C7" s="19">
        <f>IFERROR(Income_Statement!C26,0)</f>
        <v/>
      </c>
      <c r="D7" s="19">
        <f>IFERROR(Income_Statement!D26,0)</f>
        <v/>
      </c>
      <c r="E7" s="19">
        <f>IFERROR(Income_Statement!E26,0)</f>
        <v/>
      </c>
      <c r="F7" s="19">
        <f>IFERROR(Income_Statement!F26,0)</f>
        <v/>
      </c>
      <c r="G7" s="19">
        <f>IFERROR(Income_Statement!G26,0)</f>
        <v/>
      </c>
      <c r="H7" s="19">
        <f>IFERROR(Income_Statement!H26,0)</f>
        <v/>
      </c>
      <c r="I7" s="19">
        <f>IFERROR(Income_Statement!I26,0)</f>
        <v/>
      </c>
      <c r="J7" s="19">
        <f>IFERROR(Income_Statement!J26,0)</f>
        <v/>
      </c>
      <c r="K7" s="19">
        <f>IFERROR(Income_Statement!K26,0)</f>
        <v/>
      </c>
      <c r="L7" s="19">
        <f>IFERROR(Income_Statement!L26,0)</f>
        <v/>
      </c>
    </row>
    <row r="8">
      <c r="B8" s="5" t="inlineStr">
        <is>
          <t>Add: Depreciation</t>
        </is>
      </c>
      <c r="C8" s="19">
        <f>IFERROR(-Income_Statement!C18,0)</f>
        <v/>
      </c>
      <c r="D8" s="19">
        <f>IFERROR(-Income_Statement!D18,0)</f>
        <v/>
      </c>
      <c r="E8" s="19">
        <f>IFERROR(-Income_Statement!E18,0)</f>
        <v/>
      </c>
      <c r="F8" s="19">
        <f>IFERROR(-Income_Statement!F18,0)</f>
        <v/>
      </c>
      <c r="G8" s="19">
        <f>IFERROR(-Income_Statement!G18,0)</f>
        <v/>
      </c>
      <c r="H8" s="19">
        <f>IFERROR(-Income_Statement!H18,0)</f>
        <v/>
      </c>
      <c r="I8" s="19">
        <f>IFERROR(-Income_Statement!I18,0)</f>
        <v/>
      </c>
      <c r="J8" s="19">
        <f>IFERROR(-Income_Statement!J18,0)</f>
        <v/>
      </c>
      <c r="K8" s="19">
        <f>IFERROR(-Income_Statement!K18,0)</f>
        <v/>
      </c>
      <c r="L8" s="19">
        <f>IFERROR(-Income_Statement!L18,0)</f>
        <v/>
      </c>
    </row>
    <row r="9">
      <c r="B9" s="5" t="inlineStr">
        <is>
          <t>Change in Receivables</t>
        </is>
      </c>
      <c r="C9" s="19" t="n">
        <v>0</v>
      </c>
      <c r="D9" s="19">
        <f>IFERROR(Balance_Sheet!C8-Balance_Sheet!D8,0)</f>
        <v/>
      </c>
      <c r="E9" s="19">
        <f>IFERROR(Balance_Sheet!D8-Balance_Sheet!E8,0)</f>
        <v/>
      </c>
      <c r="F9" s="19">
        <f>IFERROR(Balance_Sheet!E8-Balance_Sheet!F8,0)</f>
        <v/>
      </c>
      <c r="G9" s="19">
        <f>IFERROR(Balance_Sheet!F8-Balance_Sheet!G8,0)</f>
        <v/>
      </c>
      <c r="H9" s="19">
        <f>IFERROR(Balance_Sheet!G8-Balance_Sheet!H8,0)</f>
        <v/>
      </c>
      <c r="I9" s="19">
        <f>IFERROR(Balance_Sheet!H8-Balance_Sheet!I8,0)</f>
        <v/>
      </c>
      <c r="J9" s="19">
        <f>IFERROR(Balance_Sheet!I8-Balance_Sheet!J8,0)</f>
        <v/>
      </c>
      <c r="K9" s="19">
        <f>IFERROR(Balance_Sheet!J8-Balance_Sheet!K8,0)</f>
        <v/>
      </c>
      <c r="L9" s="19">
        <f>IFERROR(Balance_Sheet!K8-Balance_Sheet!L8,0)</f>
        <v/>
      </c>
    </row>
    <row r="10">
      <c r="B10" s="5" t="inlineStr">
        <is>
          <t>Change in Inventory</t>
        </is>
      </c>
      <c r="C10" s="19" t="n">
        <v>0</v>
      </c>
      <c r="D10" s="19">
        <f>IFERROR(Balance_Sheet!C9-Balance_Sheet!D9,0)</f>
        <v/>
      </c>
      <c r="E10" s="19">
        <f>IFERROR(Balance_Sheet!D9-Balance_Sheet!E9,0)</f>
        <v/>
      </c>
      <c r="F10" s="19">
        <f>IFERROR(Balance_Sheet!E9-Balance_Sheet!F9,0)</f>
        <v/>
      </c>
      <c r="G10" s="19">
        <f>IFERROR(Balance_Sheet!F9-Balance_Sheet!G9,0)</f>
        <v/>
      </c>
      <c r="H10" s="19">
        <f>IFERROR(Balance_Sheet!G9-Balance_Sheet!H9,0)</f>
        <v/>
      </c>
      <c r="I10" s="19">
        <f>IFERROR(Balance_Sheet!H9-Balance_Sheet!I9,0)</f>
        <v/>
      </c>
      <c r="J10" s="19">
        <f>IFERROR(Balance_Sheet!I9-Balance_Sheet!J9,0)</f>
        <v/>
      </c>
      <c r="K10" s="19">
        <f>IFERROR(Balance_Sheet!J9-Balance_Sheet!K9,0)</f>
        <v/>
      </c>
      <c r="L10" s="19">
        <f>IFERROR(Balance_Sheet!K9-Balance_Sheet!L9,0)</f>
        <v/>
      </c>
    </row>
    <row r="11">
      <c r="B11" s="5" t="inlineStr">
        <is>
          <t>Change in Payables</t>
        </is>
      </c>
      <c r="C11" s="19" t="n">
        <v>0</v>
      </c>
      <c r="D11" s="19">
        <f>IFERROR(Balance_Sheet!D20-Balance_Sheet!C20,0)</f>
        <v/>
      </c>
      <c r="E11" s="19">
        <f>IFERROR(Balance_Sheet!E20-Balance_Sheet!D20,0)</f>
        <v/>
      </c>
      <c r="F11" s="19">
        <f>IFERROR(Balance_Sheet!F20-Balance_Sheet!E20,0)</f>
        <v/>
      </c>
      <c r="G11" s="19">
        <f>IFERROR(Balance_Sheet!G20-Balance_Sheet!F20,0)</f>
        <v/>
      </c>
      <c r="H11" s="19">
        <f>IFERROR(Balance_Sheet!H20-Balance_Sheet!G20,0)</f>
        <v/>
      </c>
      <c r="I11" s="19">
        <f>IFERROR(Balance_Sheet!I20-Balance_Sheet!H20,0)</f>
        <v/>
      </c>
      <c r="J11" s="19">
        <f>IFERROR(Balance_Sheet!J20-Balance_Sheet!I20,0)</f>
        <v/>
      </c>
      <c r="K11" s="19">
        <f>IFERROR(Balance_Sheet!K20-Balance_Sheet!J20,0)</f>
        <v/>
      </c>
      <c r="L11" s="19">
        <f>IFERROR(Balance_Sheet!L20-Balance_Sheet!K20,0)</f>
        <v/>
      </c>
    </row>
    <row r="12">
      <c r="B12" s="5" t="inlineStr">
        <is>
          <t>Change in Other Working Capital</t>
        </is>
      </c>
      <c r="C12" s="19" t="n">
        <v>0</v>
      </c>
      <c r="D12" s="19" t="n">
        <v>0</v>
      </c>
      <c r="E12" s="19" t="n">
        <v>0</v>
      </c>
      <c r="F12" s="19" t="n">
        <v>0</v>
      </c>
      <c r="G12" s="19" t="n">
        <v>0</v>
      </c>
      <c r="H12" s="19" t="n">
        <v>0</v>
      </c>
      <c r="I12" s="19" t="n">
        <v>0</v>
      </c>
      <c r="J12" s="19" t="n">
        <v>0</v>
      </c>
      <c r="K12" s="19" t="n">
        <v>0</v>
      </c>
      <c r="L12" s="19" t="n">
        <v>0</v>
      </c>
    </row>
    <row r="13">
      <c r="B13" s="18" t="inlineStr">
        <is>
          <t>Operating Cash Flow</t>
        </is>
      </c>
      <c r="C13" s="8">
        <f>SUM(C7:C12)</f>
        <v/>
      </c>
      <c r="D13" s="8">
        <f>SUM(D7:D12)</f>
        <v/>
      </c>
      <c r="E13" s="8">
        <f>SUM(E7:E12)</f>
        <v/>
      </c>
      <c r="F13" s="8">
        <f>SUM(F7:F12)</f>
        <v/>
      </c>
      <c r="G13" s="8">
        <f>SUM(G7:G12)</f>
        <v/>
      </c>
      <c r="H13" s="8">
        <f>SUM(H7:H12)</f>
        <v/>
      </c>
      <c r="I13" s="8">
        <f>SUM(I7:I12)</f>
        <v/>
      </c>
      <c r="J13" s="8">
        <f>SUM(J7:J12)</f>
        <v/>
      </c>
      <c r="K13" s="8">
        <f>SUM(K7:K12)</f>
        <v/>
      </c>
      <c r="L13" s="8">
        <f>SUM(L7:L12)</f>
        <v/>
      </c>
    </row>
    <row r="15">
      <c r="B15" s="4" t="inlineStr">
        <is>
          <t>INVESTING ACTIVITIES</t>
        </is>
      </c>
    </row>
    <row r="16">
      <c r="B16" s="5" t="inlineStr">
        <is>
          <t>Capital Expenditure</t>
        </is>
      </c>
      <c r="C16" s="19">
        <f>IFERROR(-Income_Statement!C6*Assumptions!$C$21,0)</f>
        <v/>
      </c>
      <c r="D16" s="19">
        <f>IFERROR(-Income_Statement!D6*Assumptions!$C$21,0)</f>
        <v/>
      </c>
      <c r="E16" s="19">
        <f>IFERROR(-Income_Statement!E6*Assumptions!$C$21,0)</f>
        <v/>
      </c>
      <c r="F16" s="19">
        <f>IFERROR(-Income_Statement!F6*Assumptions!$C$21,0)</f>
        <v/>
      </c>
      <c r="G16" s="19">
        <f>IFERROR(-Income_Statement!G6*Assumptions!$C$21,0)</f>
        <v/>
      </c>
      <c r="H16" s="19">
        <f>IFERROR(-Income_Statement!H6*Assumptions!$C$21,0)</f>
        <v/>
      </c>
      <c r="I16" s="19">
        <f>IFERROR(-Income_Statement!I6*Assumptions!$C$21,0)</f>
        <v/>
      </c>
      <c r="J16" s="19">
        <f>IFERROR(-Income_Statement!J6*Assumptions!$C$21,0)</f>
        <v/>
      </c>
      <c r="K16" s="19">
        <f>IFERROR(-Income_Statement!K6*Assumptions!$C$21,0)</f>
        <v/>
      </c>
      <c r="L16" s="19">
        <f>IFERROR(-Income_Statement!L6*Assumptions!$C$21,0)</f>
        <v/>
      </c>
    </row>
    <row r="17">
      <c r="B17" s="5" t="inlineStr">
        <is>
          <t>Other Investing</t>
        </is>
      </c>
      <c r="C17" s="19" t="n">
        <v>0</v>
      </c>
      <c r="D17" s="19" t="n">
        <v>0</v>
      </c>
      <c r="E17" s="19" t="n">
        <v>0</v>
      </c>
      <c r="F17" s="19" t="n">
        <v>0</v>
      </c>
      <c r="G17" s="19" t="n">
        <v>0</v>
      </c>
      <c r="H17" s="19" t="n">
        <v>0</v>
      </c>
      <c r="I17" s="19" t="n">
        <v>0</v>
      </c>
      <c r="J17" s="19" t="n">
        <v>0</v>
      </c>
      <c r="K17" s="19" t="n">
        <v>0</v>
      </c>
      <c r="L17" s="19" t="n">
        <v>0</v>
      </c>
    </row>
    <row r="18">
      <c r="B18" s="18" t="inlineStr">
        <is>
          <t>Investing Cash Flow</t>
        </is>
      </c>
      <c r="C18" s="19">
        <f>C16+C17</f>
        <v/>
      </c>
      <c r="D18" s="19">
        <f>D16+D17</f>
        <v/>
      </c>
      <c r="E18" s="19">
        <f>E16+E17</f>
        <v/>
      </c>
      <c r="F18" s="19">
        <f>F16+F17</f>
        <v/>
      </c>
      <c r="G18" s="19">
        <f>G16+G17</f>
        <v/>
      </c>
      <c r="H18" s="19">
        <f>H16+H17</f>
        <v/>
      </c>
      <c r="I18" s="19">
        <f>I16+I17</f>
        <v/>
      </c>
      <c r="J18" s="19">
        <f>J16+J17</f>
        <v/>
      </c>
      <c r="K18" s="19">
        <f>K16+K17</f>
        <v/>
      </c>
      <c r="L18" s="19">
        <f>L16+L17</f>
        <v/>
      </c>
    </row>
    <row r="20">
      <c r="B20" s="4" t="inlineStr">
        <is>
          <t>FINANCING ACTIVITIES</t>
        </is>
      </c>
    </row>
    <row r="21">
      <c r="B21" s="5" t="inlineStr">
        <is>
          <t>Dividends Paid</t>
        </is>
      </c>
      <c r="C21" s="19">
        <f>IFERROR(-Income_Statement!C26*0.2,0)</f>
        <v/>
      </c>
      <c r="D21" s="19">
        <f>IFERROR(-Income_Statement!D26*0.2,0)</f>
        <v/>
      </c>
      <c r="E21" s="19">
        <f>IFERROR(-Income_Statement!E26*0.2,0)</f>
        <v/>
      </c>
      <c r="F21" s="19">
        <f>IFERROR(-Income_Statement!F26*0.2,0)</f>
        <v/>
      </c>
      <c r="G21" s="19">
        <f>IFERROR(-Income_Statement!G26*0.2,0)</f>
        <v/>
      </c>
      <c r="H21" s="19">
        <f>IFERROR(-Income_Statement!H26*0.2,0)</f>
        <v/>
      </c>
      <c r="I21" s="19">
        <f>IFERROR(-Income_Statement!I26*0.2,0)</f>
        <v/>
      </c>
      <c r="J21" s="19">
        <f>IFERROR(-Income_Statement!J26*0.2,0)</f>
        <v/>
      </c>
      <c r="K21" s="19">
        <f>IFERROR(-Income_Statement!K26*0.2,0)</f>
        <v/>
      </c>
      <c r="L21" s="19">
        <f>IFERROR(-Income_Statement!L26*0.2,0)</f>
        <v/>
      </c>
    </row>
    <row r="22">
      <c r="B22" s="5" t="inlineStr">
        <is>
          <t>Change in Debt</t>
        </is>
      </c>
      <c r="C22" s="19" t="n">
        <v>0</v>
      </c>
      <c r="D22" s="19" t="n">
        <v>0</v>
      </c>
      <c r="E22" s="19" t="n">
        <v>0</v>
      </c>
      <c r="F22" s="19" t="n">
        <v>0</v>
      </c>
      <c r="G22" s="19" t="n">
        <v>0</v>
      </c>
      <c r="H22" s="19" t="n">
        <v>0</v>
      </c>
      <c r="I22" s="19" t="n">
        <v>0</v>
      </c>
      <c r="J22" s="19" t="n">
        <v>0</v>
      </c>
      <c r="K22" s="19" t="n">
        <v>0</v>
      </c>
      <c r="L22" s="19" t="n">
        <v>0</v>
      </c>
    </row>
    <row r="23">
      <c r="B23" s="18" t="inlineStr">
        <is>
          <t>Financing Cash Flow</t>
        </is>
      </c>
      <c r="C23" s="19">
        <f>C21+C22</f>
        <v/>
      </c>
      <c r="D23" s="19">
        <f>D21+D22</f>
        <v/>
      </c>
      <c r="E23" s="19">
        <f>E21+E22</f>
        <v/>
      </c>
      <c r="F23" s="19">
        <f>F21+F22</f>
        <v/>
      </c>
      <c r="G23" s="19">
        <f>G21+G22</f>
        <v/>
      </c>
      <c r="H23" s="19">
        <f>H21+H22</f>
        <v/>
      </c>
      <c r="I23" s="19">
        <f>I21+I22</f>
        <v/>
      </c>
      <c r="J23" s="19">
        <f>J21+J22</f>
        <v/>
      </c>
      <c r="K23" s="19">
        <f>K21+K22</f>
        <v/>
      </c>
      <c r="L23" s="19">
        <f>L21+L22</f>
        <v/>
      </c>
    </row>
    <row r="25">
      <c r="B25" s="18" t="inlineStr">
        <is>
          <t>Net Change in Cash</t>
        </is>
      </c>
      <c r="C25" s="8">
        <f>C13+C18+C23</f>
        <v/>
      </c>
      <c r="D25" s="8">
        <f>D13+D18+D23</f>
        <v/>
      </c>
      <c r="E25" s="8">
        <f>E13+E18+E23</f>
        <v/>
      </c>
      <c r="F25" s="8">
        <f>F13+F18+F23</f>
        <v/>
      </c>
      <c r="G25" s="8">
        <f>G13+G18+G23</f>
        <v/>
      </c>
      <c r="H25" s="8">
        <f>H13+H18+H23</f>
        <v/>
      </c>
      <c r="I25" s="8">
        <f>I13+I18+I23</f>
        <v/>
      </c>
      <c r="J25" s="8">
        <f>J13+J18+J23</f>
        <v/>
      </c>
      <c r="K25" s="8">
        <f>K13+K18+K23</f>
        <v/>
      </c>
      <c r="L25" s="8">
        <f>L13+L18+L23</f>
        <v/>
      </c>
    </row>
    <row r="26">
      <c r="B26" s="5" t="inlineStr">
        <is>
          <t>Opening Cash</t>
        </is>
      </c>
      <c r="C26" s="19" t="n">
        <v>2000</v>
      </c>
      <c r="D26" s="19">
        <f>IFERROR(Balance_Sheet!C7,0)</f>
        <v/>
      </c>
      <c r="E26" s="19">
        <f>IFERROR(Balance_Sheet!D7,0)</f>
        <v/>
      </c>
      <c r="F26" s="19">
        <f>IFERROR(Balance_Sheet!E7,0)</f>
        <v/>
      </c>
      <c r="G26" s="19">
        <f>IFERROR(Balance_Sheet!F7,0)</f>
        <v/>
      </c>
      <c r="H26" s="19">
        <f>IFERROR(Balance_Sheet!G7,0)</f>
        <v/>
      </c>
      <c r="I26" s="19">
        <f>IFERROR(Balance_Sheet!H7,0)</f>
        <v/>
      </c>
      <c r="J26" s="19">
        <f>IFERROR(Balance_Sheet!I7,0)</f>
        <v/>
      </c>
      <c r="K26" s="19">
        <f>IFERROR(Balance_Sheet!J7,0)</f>
        <v/>
      </c>
      <c r="L26" s="19">
        <f>IFERROR(Balance_Sheet!K7,0)</f>
        <v/>
      </c>
    </row>
    <row r="27">
      <c r="B27" s="18" t="inlineStr">
        <is>
          <t>Closing Cash</t>
        </is>
      </c>
      <c r="C27" s="8">
        <f>C26+C25</f>
        <v/>
      </c>
      <c r="D27" s="8">
        <f>D26+D25</f>
        <v/>
      </c>
      <c r="E27" s="8">
        <f>E26+E25</f>
        <v/>
      </c>
      <c r="F27" s="8">
        <f>F26+F25</f>
        <v/>
      </c>
      <c r="G27" s="8">
        <f>G26+G25</f>
        <v/>
      </c>
      <c r="H27" s="8">
        <f>H26+H25</f>
        <v/>
      </c>
      <c r="I27" s="8">
        <f>I26+I25</f>
        <v/>
      </c>
      <c r="J27" s="8">
        <f>J26+J25</f>
        <v/>
      </c>
      <c r="K27" s="8">
        <f>K26+K25</f>
        <v/>
      </c>
      <c r="L27" s="8">
        <f>L26+L25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G40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5" customWidth="1" min="3" max="3"/>
  </cols>
  <sheetData>
    <row r="2">
      <c r="B2" s="1" t="inlineStr">
        <is>
          <t>DCF Valuation (₹ Crores)</t>
        </is>
      </c>
    </row>
    <row r="5">
      <c r="B5" s="4" t="inlineStr">
        <is>
          <t>WACC CALCULATION</t>
        </is>
      </c>
    </row>
    <row r="6">
      <c r="B6" s="5" t="inlineStr">
        <is>
          <t>Risk-free Rate</t>
        </is>
      </c>
      <c r="C6" s="36">
        <f>Assumptions!$C$30</f>
        <v/>
      </c>
    </row>
    <row r="7">
      <c r="B7" s="5" t="inlineStr">
        <is>
          <t>Equity Risk Premium</t>
        </is>
      </c>
      <c r="C7" s="36">
        <f>Assumptions!$C$31</f>
        <v/>
      </c>
    </row>
    <row r="8">
      <c r="B8" s="5" t="inlineStr">
        <is>
          <t>Beta</t>
        </is>
      </c>
      <c r="C8" s="37">
        <f>Assumptions!$C$32</f>
        <v/>
      </c>
    </row>
    <row r="9">
      <c r="B9" s="5" t="inlineStr">
        <is>
          <t>Cost of Equity</t>
        </is>
      </c>
      <c r="C9" s="36">
        <f>C6+C7*C8</f>
        <v/>
      </c>
    </row>
    <row r="11">
      <c r="B11" s="5" t="inlineStr">
        <is>
          <t>Cost of Debt (pre-tax)</t>
        </is>
      </c>
      <c r="C11" s="36">
        <f>Assumptions!$C$26</f>
        <v/>
      </c>
    </row>
    <row r="12">
      <c r="B12" s="5" t="inlineStr">
        <is>
          <t>Tax Rate</t>
        </is>
      </c>
      <c r="C12" s="36">
        <f>Assumptions!$C$34</f>
        <v/>
      </c>
    </row>
    <row r="13">
      <c r="B13" s="5" t="inlineStr">
        <is>
          <t>Cost of Debt (post-tax)</t>
        </is>
      </c>
      <c r="C13" s="36">
        <f>C11*(1-C12)</f>
        <v/>
      </c>
    </row>
    <row r="15">
      <c r="B15" s="5" t="inlineStr">
        <is>
          <t>Target D/E Ratio</t>
        </is>
      </c>
      <c r="C15" s="37">
        <f>Assumptions!$C$27</f>
        <v/>
      </c>
    </row>
    <row r="16">
      <c r="B16" s="5" t="inlineStr">
        <is>
          <t>Weight of Equity</t>
        </is>
      </c>
      <c r="C16" s="36">
        <f>1/(1+C15)</f>
        <v/>
      </c>
    </row>
    <row r="17">
      <c r="B17" s="5" t="inlineStr">
        <is>
          <t>Weight of Debt</t>
        </is>
      </c>
      <c r="C17" s="36">
        <f>C15/(1+C15)</f>
        <v/>
      </c>
    </row>
    <row r="19">
      <c r="B19" s="18" t="inlineStr">
        <is>
          <t>WACC</t>
        </is>
      </c>
      <c r="C19" s="32">
        <f>C16*C9+C17*C13</f>
        <v/>
      </c>
    </row>
    <row r="22">
      <c r="B22" s="4" t="inlineStr">
        <is>
          <t>DCF VALUATION</t>
        </is>
      </c>
    </row>
    <row r="23">
      <c r="C23" s="17" t="inlineStr">
        <is>
          <t>Year 1</t>
        </is>
      </c>
      <c r="D23" s="17" t="inlineStr">
        <is>
          <t>Year 2</t>
        </is>
      </c>
      <c r="E23" s="17" t="inlineStr">
        <is>
          <t>Year 3</t>
        </is>
      </c>
      <c r="F23" s="17" t="inlineStr">
        <is>
          <t>Year 4</t>
        </is>
      </c>
      <c r="G23" s="17" t="inlineStr">
        <is>
          <t>Year 5</t>
        </is>
      </c>
    </row>
    <row r="24">
      <c r="B24" s="5" t="inlineStr">
        <is>
          <t>Free Cash Flow to Firm</t>
        </is>
      </c>
      <c r="C24" s="19">
        <f>Income_Statement!H15+Income_Statement!H18+Cash_Flow!H19</f>
        <v/>
      </c>
      <c r="D24" s="19">
        <f>Income_Statement!I15+Income_Statement!I18+Cash_Flow!I19</f>
        <v/>
      </c>
      <c r="E24" s="19">
        <f>Income_Statement!J15+Income_Statement!J18+Cash_Flow!J19</f>
        <v/>
      </c>
      <c r="F24" s="19">
        <f>Income_Statement!K15+Income_Statement!K18+Cash_Flow!K19</f>
        <v/>
      </c>
      <c r="G24" s="19">
        <f>Income_Statement!L15+Income_Statement!L18+Cash_Flow!L19</f>
        <v/>
      </c>
    </row>
    <row r="25">
      <c r="B25" s="5" t="inlineStr">
        <is>
          <t>Discount Factor</t>
        </is>
      </c>
      <c r="C25" s="23">
        <f>1/(1+$C$19)^1</f>
        <v/>
      </c>
      <c r="D25" s="23">
        <f>1/(1+$C$19)^2</f>
        <v/>
      </c>
      <c r="E25" s="23">
        <f>1/(1+$C$19)^3</f>
        <v/>
      </c>
      <c r="F25" s="23">
        <f>1/(1+$C$19)^4</f>
        <v/>
      </c>
      <c r="G25" s="23">
        <f>1/(1+$C$19)^5</f>
        <v/>
      </c>
    </row>
    <row r="26">
      <c r="B26" s="18" t="inlineStr">
        <is>
          <t>Present Value of FCFF</t>
        </is>
      </c>
      <c r="C26" s="21">
        <f>C24*C25</f>
        <v/>
      </c>
      <c r="D26" s="21">
        <f>D24*D25</f>
        <v/>
      </c>
      <c r="E26" s="21">
        <f>E24*E25</f>
        <v/>
      </c>
      <c r="F26" s="21">
        <f>F24*F25</f>
        <v/>
      </c>
      <c r="G26" s="21">
        <f>G24*G25</f>
        <v/>
      </c>
    </row>
    <row r="28">
      <c r="B28" s="5" t="inlineStr">
        <is>
          <t>Terminal Growth Rate</t>
        </is>
      </c>
      <c r="C28" s="24">
        <f>Assumptions!$C$33</f>
        <v/>
      </c>
    </row>
    <row r="29">
      <c r="B29" s="5" t="inlineStr">
        <is>
          <t>Terminal Value</t>
        </is>
      </c>
      <c r="C29" s="19">
        <f>IFERROR(G24*(1+C28)/($C$19-C28),0)</f>
        <v/>
      </c>
    </row>
    <row r="30">
      <c r="B30" s="5" t="inlineStr">
        <is>
          <t>PV of Terminal Value</t>
        </is>
      </c>
      <c r="C30" s="21">
        <f>C29*G25</f>
        <v/>
      </c>
    </row>
    <row r="32">
      <c r="B32" s="4" t="inlineStr">
        <is>
          <t>VALUATION SUMMARY</t>
        </is>
      </c>
    </row>
    <row r="33">
      <c r="B33" s="5" t="inlineStr">
        <is>
          <t>Sum of PV of FCFF</t>
        </is>
      </c>
      <c r="C33" s="19">
        <f>SUM(C26:G26)</f>
        <v/>
      </c>
    </row>
    <row r="34">
      <c r="B34" s="5" t="inlineStr">
        <is>
          <t>PV of Terminal Value</t>
        </is>
      </c>
      <c r="C34" s="19">
        <f>C30</f>
        <v/>
      </c>
    </row>
    <row r="35">
      <c r="B35" s="18" t="inlineStr">
        <is>
          <t>Enterprise Value</t>
        </is>
      </c>
      <c r="C35" s="8">
        <f>C33+C34</f>
        <v/>
      </c>
    </row>
    <row r="36">
      <c r="B36" s="5" t="inlineStr">
        <is>
          <t>Less: Net Debt</t>
        </is>
      </c>
      <c r="C36" s="19">
        <f>Balance_Sheet!L25+Balance_Sheet!L22-Balance_Sheet!L7</f>
        <v/>
      </c>
    </row>
    <row r="37">
      <c r="B37" s="18" t="inlineStr">
        <is>
          <t>Equity Value</t>
        </is>
      </c>
      <c r="C37" s="8">
        <f>C35-C36</f>
        <v/>
      </c>
    </row>
    <row r="39">
      <c r="B39" s="5" t="inlineStr">
        <is>
          <t>Shares Outstanding (Cr)</t>
        </is>
      </c>
      <c r="C39" s="25">
        <f>Assumptions!$C$37</f>
        <v/>
      </c>
    </row>
    <row r="40">
      <c r="B40" s="18" t="inlineStr">
        <is>
          <t>Implied Share Price (₹)</t>
        </is>
      </c>
      <c r="C40" s="31">
        <f>IFERROR(C37/C39*10,0)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B2:J28"/>
  <sheetViews>
    <sheetView workbookViewId="0">
      <selection activeCell="A1" sqref="A1"/>
    </sheetView>
  </sheetViews>
  <sheetFormatPr baseColWidth="8" defaultRowHeight="15"/>
  <cols>
    <col width="3" customWidth="1" min="1" max="1"/>
    <col width="25" customWidth="1" min="2" max="2"/>
    <col width="15" customWidth="1" min="3" max="3"/>
    <col width="15" customWidth="1" min="4" max="4"/>
    <col width="15" customWidth="1" min="5" max="5"/>
    <col width="15" customWidth="1" min="6" max="6"/>
    <col width="12" customWidth="1" min="7" max="7"/>
    <col width="12" customWidth="1" min="8" max="8"/>
    <col width="12" customWidth="1" min="9" max="9"/>
    <col width="12" customWidth="1" min="10" max="10"/>
  </cols>
  <sheetData>
    <row r="2">
      <c r="B2" s="1" t="inlineStr">
        <is>
          <t>LTI - Comparable Company Analysis</t>
        </is>
      </c>
    </row>
    <row r="5">
      <c r="B5" s="4" t="inlineStr">
        <is>
          <t>COMPARABLE COMPANY ANALYSIS</t>
        </is>
      </c>
    </row>
    <row r="7">
      <c r="B7" s="17" t="inlineStr">
        <is>
          <t>Company</t>
        </is>
      </c>
      <c r="C7" s="17" t="inlineStr">
        <is>
          <t>Market Cap</t>
        </is>
      </c>
      <c r="D7" s="17" t="inlineStr">
        <is>
          <t>Revenue</t>
        </is>
      </c>
      <c r="E7" s="17" t="inlineStr">
        <is>
          <t>EBITDA</t>
        </is>
      </c>
      <c r="F7" s="17" t="inlineStr">
        <is>
          <t>EBITDA Margin</t>
        </is>
      </c>
      <c r="G7" s="17" t="inlineStr">
        <is>
          <t>P/E</t>
        </is>
      </c>
      <c r="H7" s="17" t="inlineStr">
        <is>
          <t>EV/EBITDA</t>
        </is>
      </c>
      <c r="I7" s="17" t="inlineStr">
        <is>
          <t>EV/Revenue</t>
        </is>
      </c>
      <c r="J7" s="17" t="inlineStr">
        <is>
          <t>ROE</t>
        </is>
      </c>
    </row>
    <row r="8">
      <c r="B8" s="26" t="inlineStr">
        <is>
          <t>LTI (Target)</t>
        </is>
      </c>
      <c r="C8" s="19">
        <f>Valuation!C46/100</f>
        <v/>
      </c>
      <c r="D8" s="19">
        <f>Income_Statement!C6</f>
        <v/>
      </c>
      <c r="E8" s="19">
        <f>Income_Statement!C15</f>
        <v/>
      </c>
      <c r="F8" s="36">
        <f>IFERROR(E8/D8,0)</f>
        <v/>
      </c>
      <c r="G8" s="25">
        <f>IFERROR(Valuation!C46/Income_Statement!C26,0)</f>
        <v/>
      </c>
      <c r="H8" s="25">
        <f>IFERROR(Valuation!C44/E8,0)</f>
        <v/>
      </c>
      <c r="I8" s="25">
        <f>IFERROR(Valuation!C44/D8,0)</f>
        <v/>
      </c>
      <c r="J8" s="36">
        <f>Assumptions!C14</f>
        <v/>
      </c>
    </row>
    <row r="9">
      <c r="B9" s="24" t="inlineStr">
        <is>
          <t>Peer Company 1</t>
        </is>
      </c>
      <c r="C9" s="14" t="n">
        <v>50000</v>
      </c>
      <c r="D9" s="14" t="n">
        <v>25000</v>
      </c>
      <c r="E9" s="14" t="n">
        <v>5000</v>
      </c>
      <c r="F9" s="33" t="n">
        <v>0.2</v>
      </c>
      <c r="G9" s="27" t="n">
        <v>15</v>
      </c>
      <c r="H9" s="27" t="n">
        <v>8.5</v>
      </c>
      <c r="I9" s="27" t="n">
        <v>1.8</v>
      </c>
      <c r="J9" s="33" t="n">
        <v>0.18</v>
      </c>
    </row>
    <row r="10">
      <c r="B10" s="24" t="inlineStr">
        <is>
          <t>Peer Company 2</t>
        </is>
      </c>
      <c r="C10" s="14" t="n">
        <v>35000</v>
      </c>
      <c r="D10" s="14" t="n">
        <v>18000</v>
      </c>
      <c r="E10" s="14" t="n">
        <v>3500</v>
      </c>
      <c r="F10" s="33" t="n">
        <v>0.19</v>
      </c>
      <c r="G10" s="27" t="n">
        <v>18</v>
      </c>
      <c r="H10" s="27" t="n">
        <v>9</v>
      </c>
      <c r="I10" s="27" t="n">
        <v>1.7</v>
      </c>
      <c r="J10" s="33" t="n">
        <v>0.15</v>
      </c>
    </row>
    <row r="11">
      <c r="B11" s="24" t="inlineStr">
        <is>
          <t>Peer Company 3</t>
        </is>
      </c>
      <c r="C11" s="14" t="n">
        <v>75000</v>
      </c>
      <c r="D11" s="14" t="n">
        <v>40000</v>
      </c>
      <c r="E11" s="14" t="n">
        <v>8500</v>
      </c>
      <c r="F11" s="33" t="n">
        <v>0.21</v>
      </c>
      <c r="G11" s="27" t="n">
        <v>12</v>
      </c>
      <c r="H11" s="27" t="n">
        <v>7.5</v>
      </c>
      <c r="I11" s="27" t="n">
        <v>1.6</v>
      </c>
      <c r="J11" s="33" t="n">
        <v>0.22</v>
      </c>
    </row>
    <row r="12">
      <c r="B12" s="24" t="inlineStr">
        <is>
          <t>Peer Company 4</t>
        </is>
      </c>
      <c r="C12" s="14" t="n">
        <v>28000</v>
      </c>
      <c r="D12" s="14" t="n">
        <v>15000</v>
      </c>
      <c r="E12" s="14" t="n">
        <v>2800</v>
      </c>
      <c r="F12" s="33" t="n">
        <v>0.19</v>
      </c>
      <c r="G12" s="27" t="n">
        <v>20</v>
      </c>
      <c r="H12" s="27" t="n">
        <v>9.5</v>
      </c>
      <c r="I12" s="27" t="n">
        <v>1.8</v>
      </c>
      <c r="J12" s="33" t="n">
        <v>0.14</v>
      </c>
    </row>
    <row r="13">
      <c r="B13" s="24" t="inlineStr">
        <is>
          <t>Peer Company 5</t>
        </is>
      </c>
      <c r="C13" s="14" t="n">
        <v>60000</v>
      </c>
      <c r="D13" s="14" t="n">
        <v>32000</v>
      </c>
      <c r="E13" s="14" t="n">
        <v>6800</v>
      </c>
      <c r="F13" s="33" t="n">
        <v>0.21</v>
      </c>
      <c r="G13" s="27" t="n">
        <v>14</v>
      </c>
      <c r="H13" s="27" t="n">
        <v>8</v>
      </c>
      <c r="I13" s="27" t="n">
        <v>1.7</v>
      </c>
      <c r="J13" s="33" t="n">
        <v>0.19</v>
      </c>
    </row>
    <row r="16">
      <c r="B16" s="4" t="inlineStr">
        <is>
          <t>PEER STATISTICS</t>
        </is>
      </c>
    </row>
    <row r="17">
      <c r="B17" s="5" t="inlineStr">
        <is>
          <t>Mean</t>
        </is>
      </c>
      <c r="C17" s="19">
        <f>IFERROR(AVERAGE(C9:C13),0)</f>
        <v/>
      </c>
      <c r="D17" s="19">
        <f>IFERROR(AVERAGE(D9:D13),0)</f>
        <v/>
      </c>
      <c r="E17" s="19">
        <f>IFERROR(AVERAGE(E9:E13),0)</f>
        <v/>
      </c>
      <c r="F17" s="36">
        <f>IFERROR(AVERAGE(F9:F13),0)</f>
        <v/>
      </c>
      <c r="G17" s="25">
        <f>IFERROR(AVERAGE(G9:G13),0)</f>
        <v/>
      </c>
      <c r="H17" s="25">
        <f>IFERROR(AVERAGE(H9:H13),0)</f>
        <v/>
      </c>
      <c r="I17" s="25">
        <f>IFERROR(AVERAGE(I9:I13),0)</f>
        <v/>
      </c>
      <c r="J17" s="36">
        <f>IFERROR(AVERAGE(J9:J13),0)</f>
        <v/>
      </c>
    </row>
    <row r="18">
      <c r="B18" s="5" t="inlineStr">
        <is>
          <t>Median</t>
        </is>
      </c>
      <c r="C18" s="19">
        <f>IFERROR(MEDIAN(C9:C13),0)</f>
        <v/>
      </c>
      <c r="D18" s="19">
        <f>IFERROR(MEDIAN(D9:D13),0)</f>
        <v/>
      </c>
      <c r="E18" s="19">
        <f>IFERROR(MEDIAN(E9:E13),0)</f>
        <v/>
      </c>
      <c r="F18" s="36">
        <f>IFERROR(MEDIAN(F9:F13),0)</f>
        <v/>
      </c>
      <c r="G18" s="25">
        <f>IFERROR(MEDIAN(G9:G13),0)</f>
        <v/>
      </c>
      <c r="H18" s="25">
        <f>IFERROR(MEDIAN(H9:H13),0)</f>
        <v/>
      </c>
      <c r="I18" s="25">
        <f>IFERROR(MEDIAN(I9:I13),0)</f>
        <v/>
      </c>
      <c r="J18" s="36">
        <f>IFERROR(MEDIAN(J9:J13),0)</f>
        <v/>
      </c>
    </row>
    <row r="19">
      <c r="B19" s="5" t="inlineStr">
        <is>
          <t>25th Percentile</t>
        </is>
      </c>
      <c r="C19" s="19">
        <f>IFERROR(PERCENTILE(C9:C13,0.25),0)</f>
        <v/>
      </c>
      <c r="D19" s="19">
        <f>IFERROR(PERCENTILE(D9:D13,0.25),0)</f>
        <v/>
      </c>
      <c r="E19" s="19">
        <f>IFERROR(PERCENTILE(E9:E13,0.25),0)</f>
        <v/>
      </c>
      <c r="F19" s="36">
        <f>IFERROR(PERCENTILE(F9:F13,0.25),0)</f>
        <v/>
      </c>
      <c r="G19" s="25">
        <f>IFERROR(PERCENTILE(G9:G13,0.25),0)</f>
        <v/>
      </c>
      <c r="H19" s="25">
        <f>IFERROR(PERCENTILE(H9:H13,0.25),0)</f>
        <v/>
      </c>
      <c r="I19" s="25">
        <f>IFERROR(PERCENTILE(I9:I13,0.25),0)</f>
        <v/>
      </c>
      <c r="J19" s="36">
        <f>IFERROR(PERCENTILE(J9:J13,0.25),0)</f>
        <v/>
      </c>
    </row>
    <row r="20">
      <c r="B20" s="5" t="inlineStr">
        <is>
          <t>75th Percentile</t>
        </is>
      </c>
      <c r="C20" s="19">
        <f>IFERROR(PERCENTILE(C9:C13,0.75),0)</f>
        <v/>
      </c>
      <c r="D20" s="19">
        <f>IFERROR(PERCENTILE(D9:D13,0.75),0)</f>
        <v/>
      </c>
      <c r="E20" s="19">
        <f>IFERROR(PERCENTILE(E9:E13,0.75),0)</f>
        <v/>
      </c>
      <c r="F20" s="36">
        <f>IFERROR(PERCENTILE(F9:F13,0.75),0)</f>
        <v/>
      </c>
      <c r="G20" s="25">
        <f>IFERROR(PERCENTILE(G9:G13,0.75),0)</f>
        <v/>
      </c>
      <c r="H20" s="25">
        <f>IFERROR(PERCENTILE(H9:H13,0.75),0)</f>
        <v/>
      </c>
      <c r="I20" s="25">
        <f>IFERROR(PERCENTILE(I9:I13,0.75),0)</f>
        <v/>
      </c>
      <c r="J20" s="36">
        <f>IFERROR(PERCENTILE(J9:J13,0.75),0)</f>
        <v/>
      </c>
    </row>
    <row r="23">
      <c r="B23" s="4" t="inlineStr">
        <is>
          <t>IMPLIED VALUATION FROM COMPS</t>
        </is>
      </c>
    </row>
    <row r="24">
      <c r="B24" s="17" t="inlineStr">
        <is>
          <t>Metric</t>
        </is>
      </c>
      <c r="C24" s="17" t="inlineStr">
        <is>
          <t>Low</t>
        </is>
      </c>
      <c r="D24" s="17" t="inlineStr">
        <is>
          <t>Mid</t>
        </is>
      </c>
      <c r="E24" s="17" t="inlineStr">
        <is>
          <t>High</t>
        </is>
      </c>
    </row>
    <row r="25">
      <c r="B25" t="inlineStr">
        <is>
          <t>EV (from EV/EBITDA)</t>
        </is>
      </c>
      <c r="C25" s="19">
        <f>IFERROR(H19*E8,0)</f>
        <v/>
      </c>
      <c r="D25" s="19">
        <f>IFERROR(H17*E8,0)</f>
        <v/>
      </c>
      <c r="E25" s="19">
        <f>IFERROR(H20*E8,0)</f>
        <v/>
      </c>
    </row>
    <row r="26">
      <c r="B26" t="inlineStr">
        <is>
          <t>EV (from EV/Revenue)</t>
        </is>
      </c>
      <c r="C26" s="19">
        <f>IFERROR(I19*D8,0)</f>
        <v/>
      </c>
      <c r="D26" s="19">
        <f>IFERROR(I17*D8,0)</f>
        <v/>
      </c>
      <c r="E26" s="19">
        <f>IFERROR(I20*D8,0)</f>
        <v/>
      </c>
    </row>
    <row r="28">
      <c r="B28" s="26" t="inlineStr">
        <is>
          <t>Implied Share Price Range</t>
        </is>
      </c>
      <c r="C28" s="21">
        <f>IFERROR(C26/Valuation!C49,0)</f>
        <v/>
      </c>
      <c r="D28" s="21">
        <f>IFERROR(D26/Valuation!C49,0)</f>
        <v/>
      </c>
      <c r="E28" s="21">
        <f>IFERROR(E26/Valuation!C49,0)</f>
        <v/>
      </c>
    </row>
  </sheetData>
  <mergeCells count="3">
    <mergeCell ref="B23:E23"/>
    <mergeCell ref="B5:J5"/>
    <mergeCell ref="B16:J16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I27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</cols>
  <sheetData>
    <row r="2">
      <c r="B2" s="1" t="inlineStr">
        <is>
          <t>Sensitivity Analysis</t>
        </is>
      </c>
    </row>
    <row r="5">
      <c r="B5" s="4" t="inlineStr">
        <is>
          <t>WACC vs Terminal Growth Sensitivity</t>
        </is>
      </c>
    </row>
    <row r="7">
      <c r="B7" s="17" t="inlineStr">
        <is>
          <t>WACC \ TG</t>
        </is>
      </c>
      <c r="C7" s="38" t="n">
        <v>0.02</v>
      </c>
      <c r="D7" s="38" t="n">
        <v>0.025</v>
      </c>
      <c r="E7" s="38" t="n">
        <v>0.03</v>
      </c>
      <c r="F7" s="38" t="n">
        <v>0.035</v>
      </c>
      <c r="G7" s="38" t="n">
        <v>0.04</v>
      </c>
      <c r="H7" s="38" t="n">
        <v>0.045</v>
      </c>
      <c r="I7" s="38" t="n">
        <v>0.05</v>
      </c>
    </row>
    <row r="8">
      <c r="B8" s="38" t="n">
        <v>0.08</v>
      </c>
      <c r="C8" s="19">
        <f>IFERROR(1000*(1+0.02)/(0.08-0.02),0)</f>
        <v/>
      </c>
      <c r="D8" s="19">
        <f>IFERROR(1000*(1+0.025)/(0.08-0.025),0)</f>
        <v/>
      </c>
      <c r="E8" s="19">
        <f>IFERROR(1000*(1+0.03)/(0.08-0.03),0)</f>
        <v/>
      </c>
      <c r="F8" s="19">
        <f>IFERROR(1000*(1+0.035)/(0.08-0.035),0)</f>
        <v/>
      </c>
      <c r="G8" s="19">
        <f>IFERROR(1000*(1+0.04)/(0.08-0.04),0)</f>
        <v/>
      </c>
      <c r="H8" s="19">
        <f>IFERROR(1000*(1+0.045)/(0.08-0.045),0)</f>
        <v/>
      </c>
      <c r="I8" s="19">
        <f>IFERROR(1000*(1+0.05)/(0.08-0.05),0)</f>
        <v/>
      </c>
    </row>
    <row r="9">
      <c r="B9" s="38" t="n">
        <v>0.09</v>
      </c>
      <c r="C9" s="19">
        <f>IFERROR(1000*(1+0.02)/(0.09-0.02),0)</f>
        <v/>
      </c>
      <c r="D9" s="19">
        <f>IFERROR(1000*(1+0.025)/(0.09-0.025),0)</f>
        <v/>
      </c>
      <c r="E9" s="19">
        <f>IFERROR(1000*(1+0.03)/(0.09-0.03),0)</f>
        <v/>
      </c>
      <c r="F9" s="19">
        <f>IFERROR(1000*(1+0.035)/(0.09-0.035),0)</f>
        <v/>
      </c>
      <c r="G9" s="19">
        <f>IFERROR(1000*(1+0.04)/(0.09-0.04),0)</f>
        <v/>
      </c>
      <c r="H9" s="19">
        <f>IFERROR(1000*(1+0.045)/(0.09-0.045),0)</f>
        <v/>
      </c>
      <c r="I9" s="19">
        <f>IFERROR(1000*(1+0.05)/(0.09-0.05),0)</f>
        <v/>
      </c>
    </row>
    <row r="10">
      <c r="B10" s="38" t="n">
        <v>0.1</v>
      </c>
      <c r="C10" s="19">
        <f>IFERROR(1000*(1+0.02)/(0.1-0.02),0)</f>
        <v/>
      </c>
      <c r="D10" s="19">
        <f>IFERROR(1000*(1+0.025)/(0.1-0.025),0)</f>
        <v/>
      </c>
      <c r="E10" s="19">
        <f>IFERROR(1000*(1+0.03)/(0.1-0.03),0)</f>
        <v/>
      </c>
      <c r="F10" s="19">
        <f>IFERROR(1000*(1+0.035)/(0.1-0.035),0)</f>
        <v/>
      </c>
      <c r="G10" s="19">
        <f>IFERROR(1000*(1+0.04)/(0.1-0.04),0)</f>
        <v/>
      </c>
      <c r="H10" s="19">
        <f>IFERROR(1000*(1+0.045)/(0.1-0.045),0)</f>
        <v/>
      </c>
      <c r="I10" s="19">
        <f>IFERROR(1000*(1+0.05)/(0.1-0.05),0)</f>
        <v/>
      </c>
    </row>
    <row r="11">
      <c r="B11" s="38" t="n">
        <v>0.11</v>
      </c>
      <c r="C11" s="19">
        <f>IFERROR(1000*(1+0.02)/(0.11-0.02),0)</f>
        <v/>
      </c>
      <c r="D11" s="19">
        <f>IFERROR(1000*(1+0.025)/(0.11-0.025),0)</f>
        <v/>
      </c>
      <c r="E11" s="19">
        <f>IFERROR(1000*(1+0.03)/(0.11-0.03),0)</f>
        <v/>
      </c>
      <c r="F11" s="21">
        <f>IFERROR(1000*(1+0.035)/(0.11-0.035),0)</f>
        <v/>
      </c>
      <c r="G11" s="19">
        <f>IFERROR(1000*(1+0.04)/(0.11-0.04),0)</f>
        <v/>
      </c>
      <c r="H11" s="19">
        <f>IFERROR(1000*(1+0.045)/(0.11-0.045),0)</f>
        <v/>
      </c>
      <c r="I11" s="19">
        <f>IFERROR(1000*(1+0.05)/(0.11-0.05),0)</f>
        <v/>
      </c>
    </row>
    <row r="12">
      <c r="B12" s="38" t="n">
        <v>0.12</v>
      </c>
      <c r="C12" s="19">
        <f>IFERROR(1000*(1+0.02)/(0.12-0.02),0)</f>
        <v/>
      </c>
      <c r="D12" s="19">
        <f>IFERROR(1000*(1+0.025)/(0.12-0.025),0)</f>
        <v/>
      </c>
      <c r="E12" s="19">
        <f>IFERROR(1000*(1+0.03)/(0.12-0.03),0)</f>
        <v/>
      </c>
      <c r="F12" s="19">
        <f>IFERROR(1000*(1+0.035)/(0.12-0.035),0)</f>
        <v/>
      </c>
      <c r="G12" s="19">
        <f>IFERROR(1000*(1+0.04)/(0.12-0.04),0)</f>
        <v/>
      </c>
      <c r="H12" s="19">
        <f>IFERROR(1000*(1+0.045)/(0.12-0.045),0)</f>
        <v/>
      </c>
      <c r="I12" s="19">
        <f>IFERROR(1000*(1+0.05)/(0.12-0.05),0)</f>
        <v/>
      </c>
    </row>
    <row r="13">
      <c r="B13" s="38" t="n">
        <v>0.13</v>
      </c>
      <c r="C13" s="19">
        <f>IFERROR(1000*(1+0.02)/(0.13-0.02),0)</f>
        <v/>
      </c>
      <c r="D13" s="19">
        <f>IFERROR(1000*(1+0.025)/(0.13-0.025),0)</f>
        <v/>
      </c>
      <c r="E13" s="19">
        <f>IFERROR(1000*(1+0.03)/(0.13-0.03),0)</f>
        <v/>
      </c>
      <c r="F13" s="19">
        <f>IFERROR(1000*(1+0.035)/(0.13-0.035),0)</f>
        <v/>
      </c>
      <c r="G13" s="19">
        <f>IFERROR(1000*(1+0.04)/(0.13-0.04),0)</f>
        <v/>
      </c>
      <c r="H13" s="19">
        <f>IFERROR(1000*(1+0.045)/(0.13-0.045),0)</f>
        <v/>
      </c>
      <c r="I13" s="19">
        <f>IFERROR(1000*(1+0.05)/(0.13-0.05),0)</f>
        <v/>
      </c>
    </row>
    <row r="14">
      <c r="B14" s="38" t="n">
        <v>0.14</v>
      </c>
      <c r="C14" s="19">
        <f>IFERROR(1000*(1+0.02)/(0.14-0.02),0)</f>
        <v/>
      </c>
      <c r="D14" s="19">
        <f>IFERROR(1000*(1+0.025)/(0.14-0.025),0)</f>
        <v/>
      </c>
      <c r="E14" s="19">
        <f>IFERROR(1000*(1+0.03)/(0.14-0.03),0)</f>
        <v/>
      </c>
      <c r="F14" s="19">
        <f>IFERROR(1000*(1+0.035)/(0.14-0.035),0)</f>
        <v/>
      </c>
      <c r="G14" s="19">
        <f>IFERROR(1000*(1+0.04)/(0.14-0.04),0)</f>
        <v/>
      </c>
      <c r="H14" s="19">
        <f>IFERROR(1000*(1+0.045)/(0.14-0.045),0)</f>
        <v/>
      </c>
      <c r="I14" s="19">
        <f>IFERROR(1000*(1+0.05)/(0.14-0.05),0)</f>
        <v/>
      </c>
    </row>
    <row r="18">
      <c r="B18" s="4" t="inlineStr">
        <is>
          <t>Revenue Growth vs EBITDA Margin Impact on EV</t>
        </is>
      </c>
    </row>
    <row r="20">
      <c r="B20" s="17" t="inlineStr">
        <is>
          <t>Growth \ Margin</t>
        </is>
      </c>
      <c r="C20" s="38" t="n">
        <v>0.15</v>
      </c>
      <c r="D20" s="38" t="n">
        <v>0.2</v>
      </c>
      <c r="E20" s="38" t="n">
        <v>0.25</v>
      </c>
      <c r="F20" s="38" t="n">
        <v>0.3</v>
      </c>
      <c r="G20" s="38" t="n">
        <v>0.35</v>
      </c>
    </row>
    <row r="21">
      <c r="B21" s="38" t="n">
        <v>0.05</v>
      </c>
      <c r="C21" s="19">
        <f>10000*((1+0.05)^5)*0.15*8</f>
        <v/>
      </c>
      <c r="D21" s="19">
        <f>10000*((1+0.05)^5)*0.2*8</f>
        <v/>
      </c>
      <c r="E21" s="19">
        <f>10000*((1+0.05)^5)*0.25*8</f>
        <v/>
      </c>
      <c r="F21" s="19">
        <f>10000*((1+0.05)^5)*0.3*8</f>
        <v/>
      </c>
      <c r="G21" s="19">
        <f>10000*((1+0.05)^5)*0.35*8</f>
        <v/>
      </c>
    </row>
    <row r="22">
      <c r="B22" s="38" t="n">
        <v>0.08</v>
      </c>
      <c r="C22" s="19">
        <f>10000*((1+0.08)^5)*0.15*8</f>
        <v/>
      </c>
      <c r="D22" s="19">
        <f>10000*((1+0.08)^5)*0.2*8</f>
        <v/>
      </c>
      <c r="E22" s="19">
        <f>10000*((1+0.08)^5)*0.25*8</f>
        <v/>
      </c>
      <c r="F22" s="19">
        <f>10000*((1+0.08)^5)*0.3*8</f>
        <v/>
      </c>
      <c r="G22" s="19">
        <f>10000*((1+0.08)^5)*0.35*8</f>
        <v/>
      </c>
    </row>
    <row r="23">
      <c r="B23" s="38" t="n">
        <v>0.1</v>
      </c>
      <c r="C23" s="19">
        <f>10000*((1+0.1)^5)*0.15*8</f>
        <v/>
      </c>
      <c r="D23" s="19">
        <f>10000*((1+0.1)^5)*0.2*8</f>
        <v/>
      </c>
      <c r="E23" s="19">
        <f>10000*((1+0.1)^5)*0.25*8</f>
        <v/>
      </c>
      <c r="F23" s="19">
        <f>10000*((1+0.1)^5)*0.3*8</f>
        <v/>
      </c>
      <c r="G23" s="19">
        <f>10000*((1+0.1)^5)*0.35*8</f>
        <v/>
      </c>
    </row>
    <row r="24">
      <c r="B24" s="38" t="n">
        <v>0.12</v>
      </c>
      <c r="C24" s="19">
        <f>10000*((1+0.12)^5)*0.15*8</f>
        <v/>
      </c>
      <c r="D24" s="19">
        <f>10000*((1+0.12)^5)*0.2*8</f>
        <v/>
      </c>
      <c r="E24" s="19">
        <f>10000*((1+0.12)^5)*0.25*8</f>
        <v/>
      </c>
      <c r="F24" s="19">
        <f>10000*((1+0.12)^5)*0.3*8</f>
        <v/>
      </c>
      <c r="G24" s="19">
        <f>10000*((1+0.12)^5)*0.35*8</f>
        <v/>
      </c>
    </row>
    <row r="25">
      <c r="B25" s="38" t="n">
        <v>0.15</v>
      </c>
      <c r="C25" s="19">
        <f>10000*((1+0.15)^5)*0.15*8</f>
        <v/>
      </c>
      <c r="D25" s="19">
        <f>10000*((1+0.15)^5)*0.2*8</f>
        <v/>
      </c>
      <c r="E25" s="19">
        <f>10000*((1+0.15)^5)*0.25*8</f>
        <v/>
      </c>
      <c r="F25" s="19">
        <f>10000*((1+0.15)^5)*0.3*8</f>
        <v/>
      </c>
      <c r="G25" s="19">
        <f>10000*((1+0.15)^5)*0.35*8</f>
        <v/>
      </c>
    </row>
    <row r="26">
      <c r="B26" s="38" t="n">
        <v>0.18</v>
      </c>
      <c r="C26" s="19">
        <f>10000*((1+0.18)^5)*0.15*8</f>
        <v/>
      </c>
      <c r="D26" s="19">
        <f>10000*((1+0.18)^5)*0.2*8</f>
        <v/>
      </c>
      <c r="E26" s="19">
        <f>10000*((1+0.18)^5)*0.25*8</f>
        <v/>
      </c>
      <c r="F26" s="19">
        <f>10000*((1+0.18)^5)*0.3*8</f>
        <v/>
      </c>
      <c r="G26" s="19">
        <f>10000*((1+0.18)^5)*0.35*8</f>
        <v/>
      </c>
    </row>
    <row r="27">
      <c r="B27" s="38" t="n">
        <v>0.2</v>
      </c>
      <c r="C27" s="19">
        <f>10000*((1+0.2)^5)*0.15*8</f>
        <v/>
      </c>
      <c r="D27" s="19">
        <f>10000*((1+0.2)^5)*0.2*8</f>
        <v/>
      </c>
      <c r="E27" s="19">
        <f>10000*((1+0.2)^5)*0.25*8</f>
        <v/>
      </c>
      <c r="F27" s="19">
        <f>10000*((1+0.2)^5)*0.3*8</f>
        <v/>
      </c>
      <c r="G27" s="19">
        <f>10000*((1+0.2)^5)*0.35*8</f>
        <v/>
      </c>
    </row>
  </sheetData>
  <mergeCells count="2">
    <mergeCell ref="B5:H5"/>
    <mergeCell ref="B18:H18"/>
  </mergeCells>
  <conditionalFormatting sqref="C8:I14">
    <cfRule type="colorScale" priority="1">
      <colorScale>
        <cfvo type="min"/>
        <cfvo type="percentile" val="50"/>
        <cfvo type="max"/>
        <color rgb="00F8696B"/>
        <color rgb="00FFEB84"/>
        <color rgb="0063BE7B"/>
      </colorScale>
    </cfRule>
  </conditionalFormatting>
  <conditionalFormatting sqref="C21:G27">
    <cfRule type="colorScale" priority="2">
      <colorScale>
        <cfvo type="min"/>
        <cfvo type="percentile" val="50"/>
        <cfvo type="max"/>
        <color rgb="00F8696B"/>
        <color rgb="00FFEB84"/>
        <color rgb="0063BE7B"/>
      </colorScale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B2:E27"/>
  <sheetViews>
    <sheetView workbookViewId="0">
      <selection activeCell="A1" sqref="A1"/>
    </sheetView>
  </sheetViews>
  <sheetFormatPr baseColWidth="8" defaultRowHeight="15"/>
  <cols>
    <col width="3" customWidth="1" min="1" max="1"/>
    <col width="18" customWidth="1" min="2" max="2"/>
    <col width="18" customWidth="1" min="3" max="3"/>
    <col width="18" customWidth="1" min="4" max="4"/>
    <col width="18" customWidth="1" min="5" max="5"/>
  </cols>
  <sheetData>
    <row r="2">
      <c r="B2" s="1" t="inlineStr">
        <is>
          <t>Scenario Analysis</t>
        </is>
      </c>
    </row>
    <row r="5">
      <c r="B5" s="17" t="inlineStr">
        <is>
          <t>Scenario</t>
        </is>
      </c>
      <c r="C5" s="17" t="inlineStr">
        <is>
          <t>Bear</t>
        </is>
      </c>
      <c r="D5" s="17" t="inlineStr">
        <is>
          <t>Base</t>
        </is>
      </c>
      <c r="E5" s="17" t="inlineStr">
        <is>
          <t>Bull</t>
        </is>
      </c>
    </row>
    <row r="6">
      <c r="B6" s="5" t="inlineStr">
        <is>
          <t>Revenue Growth</t>
        </is>
      </c>
      <c r="C6" s="36" t="n">
        <v>0.05</v>
      </c>
      <c r="D6" s="33" t="n">
        <v>0.1</v>
      </c>
      <c r="E6" s="36" t="n">
        <v>0.15</v>
      </c>
    </row>
    <row r="7">
      <c r="B7" s="5" t="inlineStr">
        <is>
          <t>EBITDA Margin</t>
        </is>
      </c>
      <c r="C7" s="36" t="n">
        <v>0.18</v>
      </c>
      <c r="D7" s="33" t="n">
        <v>0.25</v>
      </c>
      <c r="E7" s="36" t="n">
        <v>0.32</v>
      </c>
    </row>
    <row r="8">
      <c r="B8" s="5" t="inlineStr">
        <is>
          <t>Terminal Growth</t>
        </is>
      </c>
      <c r="C8" s="36" t="n">
        <v>0.02</v>
      </c>
      <c r="D8" s="33" t="n">
        <v>0.04</v>
      </c>
      <c r="E8" s="36" t="n">
        <v>0.05</v>
      </c>
    </row>
    <row r="9">
      <c r="B9" s="5" t="inlineStr">
        <is>
          <t>WACC</t>
        </is>
      </c>
      <c r="C9" s="36" t="n">
        <v>0.14</v>
      </c>
      <c r="D9" s="33" t="n">
        <v>0.11</v>
      </c>
      <c r="E9" s="36" t="n">
        <v>0.09</v>
      </c>
    </row>
    <row r="11">
      <c r="B11" s="4" t="inlineStr">
        <is>
          <t>ASSUMPTIONS</t>
        </is>
      </c>
    </row>
    <row r="12">
      <c r="B12" s="5" t="inlineStr">
        <is>
          <t>Capex % Rev</t>
        </is>
      </c>
      <c r="C12" s="36" t="n">
        <v>0.08</v>
      </c>
      <c r="D12" s="33" t="n">
        <v>0.05</v>
      </c>
      <c r="E12" s="36" t="n">
        <v>0.04</v>
      </c>
    </row>
    <row r="13">
      <c r="B13" s="5" t="inlineStr">
        <is>
          <t>Working Capital Days</t>
        </is>
      </c>
      <c r="C13" s="19" t="n">
        <v>60</v>
      </c>
      <c r="D13" s="14" t="n">
        <v>45</v>
      </c>
      <c r="E13" s="19" t="n">
        <v>35</v>
      </c>
    </row>
    <row r="14">
      <c r="B14" s="5" t="inlineStr">
        <is>
          <t>D/E Ratio</t>
        </is>
      </c>
      <c r="C14" s="37" t="n">
        <v>0.8</v>
      </c>
      <c r="D14" s="34" t="n">
        <v>0.5</v>
      </c>
      <c r="E14" s="37" t="n">
        <v>0.3</v>
      </c>
    </row>
    <row r="15">
      <c r="B15" s="5" t="inlineStr">
        <is>
          <t>Tax Rate</t>
        </is>
      </c>
      <c r="C15" s="36" t="n">
        <v>0.3</v>
      </c>
      <c r="D15" s="33" t="n">
        <v>0.25</v>
      </c>
      <c r="E15" s="36" t="n">
        <v>0.22</v>
      </c>
    </row>
    <row r="17">
      <c r="B17" s="4" t="inlineStr">
        <is>
          <t>OUTPUTS</t>
        </is>
      </c>
    </row>
    <row r="18">
      <c r="B18" s="5" t="inlineStr">
        <is>
          <t>5Y Revenue CAGR</t>
        </is>
      </c>
      <c r="C18" s="36">
        <f>C6</f>
        <v/>
      </c>
      <c r="D18" s="33">
        <f>D6</f>
        <v/>
      </c>
      <c r="E18" s="36">
        <f>E6</f>
        <v/>
      </c>
    </row>
    <row r="19">
      <c r="B19" s="5" t="inlineStr">
        <is>
          <t>Exit EBITDA</t>
        </is>
      </c>
      <c r="C19" s="19">
        <f>10000*(1+C6)^5*C7</f>
        <v/>
      </c>
      <c r="D19" s="14">
        <f>10000*(1+D6)^5*D7</f>
        <v/>
      </c>
      <c r="E19" s="19">
        <f>10000*(1+E6)^5*E7</f>
        <v/>
      </c>
    </row>
    <row r="20">
      <c r="B20" s="5" t="inlineStr">
        <is>
          <t>Enterprise Value</t>
        </is>
      </c>
      <c r="C20" s="19">
        <f>C19*6</f>
        <v/>
      </c>
      <c r="D20" s="14">
        <f>D19*8</f>
        <v/>
      </c>
      <c r="E20" s="19">
        <f>E19*10</f>
        <v/>
      </c>
    </row>
    <row r="21">
      <c r="B21" s="5" t="inlineStr">
        <is>
          <t>Equity Value</t>
        </is>
      </c>
      <c r="C21" s="19">
        <f>C20-3000</f>
        <v/>
      </c>
      <c r="D21" s="14">
        <f>D20-2500</f>
        <v/>
      </c>
      <c r="E21" s="19">
        <f>E20-2000</f>
        <v/>
      </c>
    </row>
    <row r="22">
      <c r="B22" s="5" t="inlineStr">
        <is>
          <t>Implied Share Price</t>
        </is>
      </c>
      <c r="C22" s="39">
        <f>C21/10</f>
        <v/>
      </c>
      <c r="D22" s="35">
        <f>D21/10</f>
        <v/>
      </c>
      <c r="E22" s="39">
        <f>E21/10</f>
        <v/>
      </c>
    </row>
    <row r="24">
      <c r="B24" s="4" t="inlineStr">
        <is>
          <t>IRR Analysis</t>
        </is>
      </c>
    </row>
    <row r="25">
      <c r="B25" s="5" t="inlineStr">
        <is>
          <t>Entry Price</t>
        </is>
      </c>
      <c r="C25" s="39" t="n">
        <v>500</v>
      </c>
      <c r="D25" s="35" t="n">
        <v>500</v>
      </c>
      <c r="E25" s="39" t="n">
        <v>500</v>
      </c>
    </row>
    <row r="26">
      <c r="B26" s="5" t="inlineStr">
        <is>
          <t>Exit Price</t>
        </is>
      </c>
      <c r="C26" s="39">
        <f>C22</f>
        <v/>
      </c>
      <c r="D26" s="35">
        <f>D22</f>
        <v/>
      </c>
      <c r="E26" s="39">
        <f>E22</f>
        <v/>
      </c>
    </row>
    <row r="27">
      <c r="B27" s="5" t="inlineStr">
        <is>
          <t>5Y Return</t>
        </is>
      </c>
      <c r="C27" s="36">
        <f>(C25/C24)^0.2-1</f>
        <v/>
      </c>
      <c r="D27" s="33">
        <f>(D25/D24)^0.2-1</f>
        <v/>
      </c>
      <c r="E27" s="36">
        <f>(E25/E24)^0.2-1</f>
        <v/>
      </c>
    </row>
  </sheetData>
  <mergeCells count="3">
    <mergeCell ref="B17:E17"/>
    <mergeCell ref="B11:E11"/>
    <mergeCell ref="B24:E24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B2:L56"/>
  <sheetViews>
    <sheetView workbookViewId="0">
      <selection activeCell="A1" sqref="A1"/>
    </sheetView>
  </sheetViews>
  <sheetFormatPr baseColWidth="8" defaultRowHeight="15"/>
  <cols>
    <col width="3" customWidth="1" min="1" max="1"/>
    <col width="32" customWidth="1" min="2" max="2"/>
  </cols>
  <sheetData>
    <row r="2">
      <c r="B2" s="1" t="inlineStr">
        <is>
          <t>LTI - Financial Dashboard</t>
        </is>
      </c>
    </row>
    <row r="22">
      <c r="B22" s="4" t="inlineStr">
        <is>
          <t>KEY METRICS SUMMARY</t>
        </is>
      </c>
    </row>
    <row r="23">
      <c r="B23" s="5" t="inlineStr">
        <is>
          <t>Current Revenue</t>
        </is>
      </c>
      <c r="C23" s="8">
        <f>Income_Statement!G6</f>
        <v/>
      </c>
    </row>
    <row r="24">
      <c r="B24" s="5" t="inlineStr">
        <is>
          <t>Forecast Y5 Revenue</t>
        </is>
      </c>
      <c r="C24" s="8">
        <f>Income_Statement!L6</f>
        <v/>
      </c>
    </row>
    <row r="25">
      <c r="B25" s="5" t="inlineStr">
        <is>
          <t>Revenue CAGR</t>
        </is>
      </c>
      <c r="C25" s="32">
        <f>IFERROR((Income_Statement!L6/Income_Statement!G6)^(1/5)-1,0)</f>
        <v/>
      </c>
    </row>
    <row r="26">
      <c r="B26" s="5" t="inlineStr">
        <is>
          <t>Current EBITDA Margin</t>
        </is>
      </c>
      <c r="C26" s="32">
        <f>G45</f>
        <v/>
      </c>
    </row>
    <row r="27">
      <c r="B27" s="5" t="inlineStr">
        <is>
          <t>Forecast Y5 EBITDA Margin</t>
        </is>
      </c>
      <c r="C27" s="32">
        <f>L45</f>
        <v/>
      </c>
    </row>
    <row r="28">
      <c r="B28" s="5" t="inlineStr">
        <is>
          <t>Enterprise Value</t>
        </is>
      </c>
      <c r="C28" s="8">
        <f>Valuation!C44</f>
        <v/>
      </c>
    </row>
    <row r="29">
      <c r="B29" s="5" t="inlineStr">
        <is>
          <t>Equity Value</t>
        </is>
      </c>
      <c r="C29" s="8">
        <f>Valuation!C46</f>
        <v/>
      </c>
    </row>
    <row r="30">
      <c r="B30" s="5" t="inlineStr">
        <is>
          <t>Implied Share Price</t>
        </is>
      </c>
      <c r="C30" s="31">
        <f>Valuation!C50</f>
        <v/>
      </c>
    </row>
    <row r="40">
      <c r="B40" s="4" t="inlineStr">
        <is>
          <t>Chart Data</t>
        </is>
      </c>
    </row>
    <row r="41">
      <c r="B41" t="inlineStr">
        <is>
          <t>Year</t>
        </is>
      </c>
      <c r="C41" t="inlineStr">
        <is>
          <t>FY2021</t>
        </is>
      </c>
      <c r="D41" t="inlineStr">
        <is>
          <t>FY2022</t>
        </is>
      </c>
      <c r="E41" t="inlineStr">
        <is>
          <t>FY2023</t>
        </is>
      </c>
      <c r="F41" t="inlineStr">
        <is>
          <t>FY2024</t>
        </is>
      </c>
      <c r="G41" t="inlineStr">
        <is>
          <t>FY2025</t>
        </is>
      </c>
      <c r="H41" t="inlineStr">
        <is>
          <t>FY2026</t>
        </is>
      </c>
      <c r="I41" t="inlineStr">
        <is>
          <t>FY2027</t>
        </is>
      </c>
      <c r="J41" t="inlineStr">
        <is>
          <t>FY2028</t>
        </is>
      </c>
      <c r="K41" t="inlineStr">
        <is>
          <t>FY2029</t>
        </is>
      </c>
      <c r="L41" t="inlineStr">
        <is>
          <t>FY2030</t>
        </is>
      </c>
    </row>
    <row r="42">
      <c r="B42" t="inlineStr">
        <is>
          <t>Revenue</t>
        </is>
      </c>
      <c r="C42" s="19">
        <f>Income_Statement!C6</f>
        <v/>
      </c>
      <c r="D42" s="19">
        <f>Income_Statement!D6</f>
        <v/>
      </c>
      <c r="E42" s="19">
        <f>Income_Statement!E6</f>
        <v/>
      </c>
      <c r="F42" s="19">
        <f>Income_Statement!F6</f>
        <v/>
      </c>
      <c r="G42" s="19">
        <f>Income_Statement!G6</f>
        <v/>
      </c>
      <c r="H42" s="19">
        <f>Income_Statement!H6</f>
        <v/>
      </c>
      <c r="I42" s="19">
        <f>Income_Statement!I6</f>
        <v/>
      </c>
      <c r="J42" s="19">
        <f>Income_Statement!J6</f>
        <v/>
      </c>
      <c r="K42" s="19">
        <f>Income_Statement!K6</f>
        <v/>
      </c>
      <c r="L42" s="19">
        <f>Income_Statement!L6</f>
        <v/>
      </c>
    </row>
    <row r="43">
      <c r="B43" t="inlineStr">
        <is>
          <t>EBITDA</t>
        </is>
      </c>
      <c r="C43" s="19">
        <f>Income_Statement!C15</f>
        <v/>
      </c>
      <c r="D43" s="19">
        <f>Income_Statement!D15</f>
        <v/>
      </c>
      <c r="E43" s="19">
        <f>Income_Statement!E15</f>
        <v/>
      </c>
      <c r="F43" s="19">
        <f>Income_Statement!F15</f>
        <v/>
      </c>
      <c r="G43" s="19">
        <f>Income_Statement!G15</f>
        <v/>
      </c>
      <c r="H43" s="19">
        <f>Income_Statement!H15</f>
        <v/>
      </c>
      <c r="I43" s="19">
        <f>Income_Statement!I15</f>
        <v/>
      </c>
      <c r="J43" s="19">
        <f>Income_Statement!J15</f>
        <v/>
      </c>
      <c r="K43" s="19">
        <f>Income_Statement!K15</f>
        <v/>
      </c>
      <c r="L43" s="19">
        <f>Income_Statement!L15</f>
        <v/>
      </c>
    </row>
    <row r="44">
      <c r="B44" t="inlineStr">
        <is>
          <t>Net Income</t>
        </is>
      </c>
      <c r="C44" s="19">
        <f>Income_Statement!C26</f>
        <v/>
      </c>
      <c r="D44" s="19">
        <f>Income_Statement!D26</f>
        <v/>
      </c>
      <c r="E44" s="19">
        <f>Income_Statement!E26</f>
        <v/>
      </c>
      <c r="F44" s="19">
        <f>Income_Statement!F26</f>
        <v/>
      </c>
      <c r="G44" s="19">
        <f>Income_Statement!G26</f>
        <v/>
      </c>
      <c r="H44" s="19">
        <f>Income_Statement!H26</f>
        <v/>
      </c>
      <c r="I44" s="19">
        <f>Income_Statement!I26</f>
        <v/>
      </c>
      <c r="J44" s="19">
        <f>Income_Statement!J26</f>
        <v/>
      </c>
      <c r="K44" s="19">
        <f>Income_Statement!K26</f>
        <v/>
      </c>
      <c r="L44" s="19">
        <f>Income_Statement!L26</f>
        <v/>
      </c>
    </row>
    <row r="45">
      <c r="B45" t="inlineStr">
        <is>
          <t>EBITDA Margin %</t>
        </is>
      </c>
      <c r="C45" s="36">
        <f>IFERROR(C43/C42,0)</f>
        <v/>
      </c>
      <c r="D45" s="36">
        <f>IFERROR(D43/D42,0)</f>
        <v/>
      </c>
      <c r="E45" s="36">
        <f>IFERROR(E43/E42,0)</f>
        <v/>
      </c>
      <c r="F45" s="36">
        <f>IFERROR(F43/F42,0)</f>
        <v/>
      </c>
      <c r="G45" s="36">
        <f>IFERROR(G43/G42,0)</f>
        <v/>
      </c>
      <c r="H45" s="36">
        <f>IFERROR(H43/H42,0)</f>
        <v/>
      </c>
      <c r="I45" s="36">
        <f>IFERROR(I43/I42,0)</f>
        <v/>
      </c>
      <c r="J45" s="36">
        <f>IFERROR(J43/J42,0)</f>
        <v/>
      </c>
      <c r="K45" s="36">
        <f>IFERROR(K43/K42,0)</f>
        <v/>
      </c>
      <c r="L45" s="36">
        <f>IFERROR(L43/L42,0)</f>
        <v/>
      </c>
    </row>
    <row r="50">
      <c r="B50" s="4" t="inlineStr">
        <is>
          <t>DCF Waterfall Data</t>
        </is>
      </c>
    </row>
    <row r="51">
      <c r="B51" s="17" t="inlineStr">
        <is>
          <t>Component</t>
        </is>
      </c>
      <c r="C51" s="17" t="inlineStr">
        <is>
          <t>Value</t>
        </is>
      </c>
      <c r="D51" s="17" t="inlineStr">
        <is>
          <t>Base</t>
        </is>
      </c>
      <c r="E51" s="17" t="inlineStr">
        <is>
          <t>Increase</t>
        </is>
      </c>
      <c r="F51" s="17" t="inlineStr">
        <is>
          <t>Decrease</t>
        </is>
      </c>
    </row>
    <row r="52">
      <c r="B52" t="inlineStr">
        <is>
          <t>PV of FCF</t>
        </is>
      </c>
      <c r="C52" s="19">
        <f>Valuation!C33</f>
        <v/>
      </c>
      <c r="D52" t="n">
        <v>0</v>
      </c>
      <c r="E52">
        <f>C52</f>
        <v/>
      </c>
      <c r="F52" t="n">
        <v>0</v>
      </c>
    </row>
    <row r="53">
      <c r="B53" t="inlineStr">
        <is>
          <t>+ Terminal Value</t>
        </is>
      </c>
      <c r="C53" s="19">
        <f>Valuation!C34</f>
        <v/>
      </c>
      <c r="D53">
        <f>C52+E52</f>
        <v/>
      </c>
      <c r="E53">
        <f>C53</f>
        <v/>
      </c>
      <c r="F53" t="n">
        <v>0</v>
      </c>
    </row>
    <row r="54">
      <c r="B54">
        <f> Enterprise Value</f>
        <v/>
      </c>
      <c r="C54" s="19">
        <f>Valuation!C35</f>
        <v/>
      </c>
      <c r="D54" t="n">
        <v>0</v>
      </c>
      <c r="E54" t="n">
        <v>0</v>
      </c>
      <c r="F54" t="n">
        <v>0</v>
      </c>
    </row>
    <row r="55">
      <c r="B55" t="inlineStr">
        <is>
          <t>- Net Debt</t>
        </is>
      </c>
      <c r="C55" s="19">
        <f>Valuation!C36</f>
        <v/>
      </c>
      <c r="D55">
        <f>Valuation!C35</f>
        <v/>
      </c>
      <c r="E55" t="n">
        <v>0</v>
      </c>
      <c r="F55">
        <f>ABS(C55)</f>
        <v/>
      </c>
    </row>
    <row r="56">
      <c r="B56">
        <f> Equity Value</f>
        <v/>
      </c>
      <c r="C56" s="19">
        <f>Valuation!C37</f>
        <v/>
      </c>
      <c r="D56" t="n">
        <v>0</v>
      </c>
      <c r="E56" t="n">
        <v>0</v>
      </c>
      <c r="F56" t="n">
        <v>0</v>
      </c>
    </row>
  </sheetData>
  <mergeCells count="1">
    <mergeCell ref="B22:D22"/>
  </mergeCells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2026-02-01T08:47:17Z</dcterms:created>
  <dcterms:modified xmlns:dcterms="http://purl.org/dc/terms/" xmlns:xsi="http://www.w3.org/2001/XMLSchema-instance" xsi:type="dcterms:W3CDTF">2026-02-01T08:47:33Z</dcterms:modified>
</cp:coreProperties>
</file>